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6240" yWindow="2910" windowWidth="21600" windowHeight="11325" activeTab="1"/>
  </bookViews>
  <sheets>
    <sheet name="1" sheetId="2" r:id="rId1"/>
    <sheet name="2" sheetId="3" r:id="rId2"/>
    <sheet name="3" sheetId="4" r:id="rId3"/>
    <sheet name="4" sheetId="5" r:id="rId4"/>
    <sheet name="5" sheetId="6" r:id="rId5"/>
    <sheet name="6" sheetId="7" r:id="rId6"/>
    <sheet name="SPU" sheetId="8" r:id="rId7"/>
    <sheet name="8" sheetId="9" r:id="rId8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9" l="1"/>
  <c r="C3" i="9"/>
  <c r="D3" i="9"/>
  <c r="E3" i="9"/>
  <c r="F3" i="9"/>
  <c r="G3" i="9"/>
  <c r="H3" i="9"/>
  <c r="I4" i="9"/>
  <c r="I5" i="9"/>
  <c r="I6" i="9"/>
  <c r="I7" i="9"/>
  <c r="I8" i="9"/>
  <c r="F21" i="9"/>
  <c r="F22" i="9"/>
  <c r="H28" i="9" s="1"/>
  <c r="G25" i="9"/>
  <c r="H25" i="9"/>
  <c r="I25" i="9" s="1"/>
  <c r="G26" i="9"/>
  <c r="H26" i="9"/>
  <c r="I26" i="9"/>
  <c r="G27" i="9"/>
  <c r="H27" i="9"/>
  <c r="I27" i="9"/>
  <c r="G28" i="9"/>
  <c r="I28" i="9" s="1"/>
  <c r="H31" i="9" s="1"/>
  <c r="I31" i="9" s="1"/>
  <c r="G31" i="9"/>
  <c r="G32" i="9"/>
  <c r="I32" i="9"/>
  <c r="P32" i="9"/>
  <c r="G33" i="9"/>
  <c r="I33" i="9" s="1"/>
  <c r="G37" i="9" s="1"/>
  <c r="F37" i="9"/>
  <c r="F38" i="9"/>
  <c r="G38" i="9"/>
  <c r="X4" i="8" l="1"/>
  <c r="X5" i="8"/>
  <c r="X6" i="8"/>
  <c r="X7" i="8"/>
  <c r="X8" i="8"/>
  <c r="X9" i="8"/>
  <c r="X10" i="8"/>
  <c r="X11" i="8"/>
  <c r="X12" i="8"/>
  <c r="X13" i="8"/>
  <c r="X14" i="8"/>
  <c r="X15" i="8"/>
  <c r="AD15" i="8"/>
  <c r="AD16" i="8" s="1"/>
  <c r="AD17" i="8" s="1"/>
  <c r="X16" i="8"/>
  <c r="X17" i="8"/>
  <c r="X18" i="8"/>
  <c r="X19" i="8"/>
  <c r="X20" i="8"/>
  <c r="X21" i="8"/>
  <c r="N23" i="8"/>
  <c r="X23" i="8" s="1"/>
  <c r="O23" i="8"/>
  <c r="P23" i="8"/>
  <c r="Q23" i="8"/>
  <c r="R23" i="8"/>
  <c r="S23" i="8"/>
  <c r="T23" i="8"/>
  <c r="U23" i="8"/>
  <c r="V23" i="8"/>
  <c r="W23" i="8"/>
  <c r="M26" i="8"/>
  <c r="N26" i="8" a="1"/>
  <c r="N26" i="8" s="1"/>
  <c r="M27" i="8"/>
  <c r="N27" i="8" a="1"/>
  <c r="N27" i="8" s="1"/>
  <c r="B28" i="8"/>
  <c r="M28" i="8"/>
  <c r="N24" i="8" s="1" a="1"/>
  <c r="N24" i="8" s="1"/>
  <c r="X24" i="8" s="1"/>
  <c r="Z25" i="8" s="1"/>
  <c r="Z26" i="8" s="1"/>
  <c r="Z27" i="8" s="1"/>
  <c r="B29" i="8"/>
  <c r="F29" i="8"/>
  <c r="F30" i="8" s="1"/>
  <c r="F31" i="8" s="1"/>
  <c r="F32" i="8" s="1"/>
  <c r="F33" i="8" s="1"/>
  <c r="F34" i="8" s="1"/>
  <c r="F35" i="8" s="1"/>
  <c r="M29" i="8"/>
  <c r="B30" i="8"/>
  <c r="M30" i="8"/>
  <c r="B31" i="8"/>
  <c r="M31" i="8"/>
  <c r="B32" i="8"/>
  <c r="M32" i="8"/>
  <c r="R32" i="8"/>
  <c r="U32" i="8"/>
  <c r="B33" i="8"/>
  <c r="M33" i="8"/>
  <c r="B34" i="8"/>
  <c r="M34" i="8"/>
  <c r="B35" i="8"/>
  <c r="M35" i="8"/>
  <c r="B36" i="8"/>
  <c r="B37" i="8"/>
  <c r="B38" i="8"/>
  <c r="B39" i="8"/>
  <c r="B40" i="8"/>
  <c r="B41" i="8"/>
  <c r="B42" i="8"/>
  <c r="B43" i="8"/>
  <c r="B60" i="8"/>
  <c r="C60" i="8"/>
  <c r="B62" i="8"/>
  <c r="C62" i="8"/>
  <c r="U63" i="8"/>
  <c r="B64" i="8"/>
  <c r="C64" i="8"/>
  <c r="T64" i="8"/>
  <c r="U64" i="8"/>
  <c r="T65" i="8"/>
  <c r="U65" i="8"/>
  <c r="B66" i="8"/>
  <c r="C66" i="8"/>
  <c r="T66" i="8"/>
  <c r="U66" i="8"/>
  <c r="T67" i="8"/>
  <c r="U67" i="8"/>
  <c r="B68" i="8"/>
  <c r="C68" i="8"/>
  <c r="T68" i="8"/>
  <c r="U68" i="8"/>
  <c r="T69" i="8"/>
  <c r="U69" i="8"/>
  <c r="B70" i="8"/>
  <c r="C70" i="8"/>
  <c r="T70" i="8"/>
  <c r="U70" i="8"/>
  <c r="T71" i="8"/>
  <c r="U71" i="8"/>
  <c r="B72" i="8"/>
  <c r="C72" i="8"/>
  <c r="T72" i="8"/>
  <c r="U72" i="8"/>
  <c r="T73" i="8"/>
  <c r="U73" i="8"/>
  <c r="B74" i="8"/>
  <c r="C74" i="8"/>
  <c r="T74" i="8"/>
  <c r="U74" i="8"/>
  <c r="T75" i="8"/>
  <c r="U75" i="8"/>
  <c r="B76" i="8"/>
  <c r="C76" i="8"/>
  <c r="T76" i="8"/>
  <c r="U76" i="8"/>
  <c r="T77" i="8"/>
  <c r="U77" i="8"/>
  <c r="B78" i="8"/>
  <c r="C78" i="8"/>
  <c r="B83" i="8"/>
  <c r="C83" i="8"/>
  <c r="B85" i="8"/>
  <c r="C85" i="8"/>
  <c r="B87" i="8"/>
  <c r="C87" i="8"/>
  <c r="B89" i="8"/>
  <c r="C89" i="8"/>
  <c r="B91" i="8"/>
  <c r="C91" i="8"/>
  <c r="B93" i="8"/>
  <c r="C93" i="8"/>
  <c r="B95" i="8"/>
  <c r="C95" i="8"/>
  <c r="B97" i="8"/>
  <c r="C97" i="8"/>
  <c r="B99" i="8"/>
  <c r="C99" i="8"/>
  <c r="B101" i="8"/>
  <c r="C101" i="8"/>
  <c r="P32" i="8" l="1"/>
  <c r="E6" i="7"/>
  <c r="R20" i="7"/>
  <c r="R39" i="7" s="1"/>
  <c r="S20" i="7"/>
  <c r="O31" i="7" s="1"/>
  <c r="T20" i="7"/>
  <c r="V31" i="7" s="1"/>
  <c r="R21" i="7"/>
  <c r="U21" i="7" s="1"/>
  <c r="S21" i="7"/>
  <c r="T21" i="7"/>
  <c r="V21" i="7"/>
  <c r="W21" i="7"/>
  <c r="Y21" i="7"/>
  <c r="Z21" i="7"/>
  <c r="R22" i="7"/>
  <c r="S22" i="7"/>
  <c r="T22" i="7"/>
  <c r="U22" i="7"/>
  <c r="X36" i="7" s="1"/>
  <c r="V22" i="7"/>
  <c r="Z36" i="7" s="1"/>
  <c r="W22" i="7"/>
  <c r="X22" i="7"/>
  <c r="Y22" i="7"/>
  <c r="Z22" i="7"/>
  <c r="R23" i="7"/>
  <c r="S23" i="7"/>
  <c r="T23" i="7"/>
  <c r="U23" i="7"/>
  <c r="V37" i="7" s="1"/>
  <c r="V23" i="7"/>
  <c r="Y23" i="7" s="1"/>
  <c r="W23" i="7"/>
  <c r="Z23" i="7" s="1"/>
  <c r="X23" i="7"/>
  <c r="R24" i="7"/>
  <c r="S24" i="7"/>
  <c r="T24" i="7"/>
  <c r="U24" i="7"/>
  <c r="V38" i="7" s="1"/>
  <c r="V24" i="7"/>
  <c r="W24" i="7"/>
  <c r="X24" i="7"/>
  <c r="Y24" i="7"/>
  <c r="Z24" i="7"/>
  <c r="R25" i="7"/>
  <c r="S25" i="7"/>
  <c r="T25" i="7"/>
  <c r="U25" i="7"/>
  <c r="V39" i="7" s="1"/>
  <c r="V25" i="7"/>
  <c r="Z39" i="7" s="1"/>
  <c r="W25" i="7"/>
  <c r="X25" i="7"/>
  <c r="Y25" i="7"/>
  <c r="Z25" i="7"/>
  <c r="R26" i="7"/>
  <c r="S26" i="7"/>
  <c r="V26" i="7" s="1"/>
  <c r="T26" i="7"/>
  <c r="W26" i="7" s="1"/>
  <c r="Z26" i="7" s="1"/>
  <c r="U26" i="7"/>
  <c r="X26" i="7" s="1"/>
  <c r="R27" i="7"/>
  <c r="S27" i="7"/>
  <c r="T27" i="7"/>
  <c r="U27" i="7"/>
  <c r="V27" i="7"/>
  <c r="W27" i="7"/>
  <c r="X27" i="7"/>
  <c r="Y27" i="7"/>
  <c r="Z27" i="7"/>
  <c r="R28" i="7"/>
  <c r="S28" i="7"/>
  <c r="T28" i="7"/>
  <c r="U28" i="7"/>
  <c r="V28" i="7"/>
  <c r="W28" i="7"/>
  <c r="X28" i="7"/>
  <c r="Y28" i="7"/>
  <c r="Z28" i="7"/>
  <c r="X29" i="7"/>
  <c r="Y29" i="7"/>
  <c r="Z29" i="7"/>
  <c r="Z35" i="7"/>
  <c r="V36" i="7"/>
  <c r="X38" i="7"/>
  <c r="Z38" i="7"/>
  <c r="V41" i="7"/>
  <c r="X41" i="7"/>
  <c r="Z41" i="7"/>
  <c r="M42" i="7"/>
  <c r="L74" i="7" s="1"/>
  <c r="V42" i="7"/>
  <c r="X42" i="7"/>
  <c r="Z42" i="7"/>
  <c r="V43" i="7"/>
  <c r="X43" i="7"/>
  <c r="Z43" i="7"/>
  <c r="R45" i="7"/>
  <c r="H46" i="7"/>
  <c r="R46" i="7"/>
  <c r="H47" i="7"/>
  <c r="R47" i="7"/>
  <c r="K56" i="7"/>
  <c r="N56" i="7"/>
  <c r="N59" i="7" s="1"/>
  <c r="O56" i="7"/>
  <c r="E57" i="7"/>
  <c r="F57" i="7"/>
  <c r="G57" i="7"/>
  <c r="H57" i="7"/>
  <c r="H62" i="7" s="1"/>
  <c r="J46" i="7" s="1"/>
  <c r="K57" i="7"/>
  <c r="Q56" i="7" s="1"/>
  <c r="Q59" i="7" s="1"/>
  <c r="L57" i="7"/>
  <c r="M57" i="7"/>
  <c r="N57" i="7"/>
  <c r="E58" i="7"/>
  <c r="E63" i="7" s="1"/>
  <c r="F58" i="7"/>
  <c r="F63" i="7" s="1"/>
  <c r="G58" i="7"/>
  <c r="G63" i="7" s="1"/>
  <c r="H58" i="7"/>
  <c r="H63" i="7" s="1"/>
  <c r="E59" i="7"/>
  <c r="E64" i="7" s="1"/>
  <c r="F59" i="7"/>
  <c r="F64" i="7" s="1"/>
  <c r="G59" i="7"/>
  <c r="G64" i="7" s="1"/>
  <c r="H59" i="7"/>
  <c r="H64" i="7" s="1"/>
  <c r="P59" i="7"/>
  <c r="K60" i="7"/>
  <c r="L60" i="7"/>
  <c r="J61" i="7"/>
  <c r="O58" i="7" s="1"/>
  <c r="L61" i="7"/>
  <c r="E62" i="7"/>
  <c r="F62" i="7"/>
  <c r="G62" i="7"/>
  <c r="L66" i="7"/>
  <c r="M66" i="7"/>
  <c r="L67" i="7"/>
  <c r="L69" i="7"/>
  <c r="L70" i="7"/>
  <c r="L71" i="7"/>
  <c r="L72" i="7"/>
  <c r="K80" i="7"/>
  <c r="K81" i="7"/>
  <c r="Y26" i="7" l="1"/>
  <c r="Z40" i="7"/>
  <c r="X21" i="7"/>
  <c r="X35" i="7"/>
  <c r="V35" i="7"/>
  <c r="X40" i="7"/>
  <c r="T39" i="7"/>
  <c r="P32" i="7"/>
  <c r="W20" i="7" s="1"/>
  <c r="Z20" i="7" s="1"/>
  <c r="V40" i="7"/>
  <c r="X39" i="7"/>
  <c r="U31" i="7"/>
  <c r="T31" i="7"/>
  <c r="N31" i="7"/>
  <c r="S39" i="7"/>
  <c r="P31" i="7"/>
  <c r="O32" i="7"/>
  <c r="V20" i="7" s="1"/>
  <c r="N32" i="7"/>
  <c r="U20" i="7" s="1"/>
  <c r="Z37" i="7"/>
  <c r="O57" i="7"/>
  <c r="O59" i="7" s="1"/>
  <c r="N62" i="7" s="1"/>
  <c r="X37" i="7"/>
  <c r="Y20" i="7" l="1"/>
  <c r="Z34" i="7"/>
  <c r="Z44" i="7" s="1"/>
  <c r="Z45" i="7" s="1"/>
  <c r="Z30" i="7"/>
  <c r="Z31" i="7"/>
  <c r="D3" i="7" s="1"/>
  <c r="V34" i="7"/>
  <c r="V44" i="7" s="1"/>
  <c r="V45" i="7" s="1"/>
  <c r="X20" i="7"/>
  <c r="X34" i="7"/>
  <c r="X44" i="7" s="1"/>
  <c r="X45" i="7" s="1"/>
  <c r="D4" i="6"/>
  <c r="D5" i="6"/>
  <c r="D6" i="6"/>
  <c r="B15" i="6"/>
  <c r="C15" i="6"/>
  <c r="D15" i="6"/>
  <c r="B16" i="6"/>
  <c r="C16" i="6"/>
  <c r="D16" i="6"/>
  <c r="D21" i="6" s="1"/>
  <c r="I16" i="6"/>
  <c r="I22" i="6" s="1"/>
  <c r="J16" i="6"/>
  <c r="J22" i="6" s="1"/>
  <c r="K16" i="6"/>
  <c r="K22" i="6" s="1"/>
  <c r="B17" i="6"/>
  <c r="C17" i="6"/>
  <c r="C22" i="6" s="1"/>
  <c r="D17" i="6"/>
  <c r="D22" i="6" s="1"/>
  <c r="I17" i="6"/>
  <c r="I23" i="6" s="1"/>
  <c r="J17" i="6"/>
  <c r="K17" i="6"/>
  <c r="I19" i="6"/>
  <c r="I25" i="6" s="1"/>
  <c r="J19" i="6"/>
  <c r="J25" i="6" s="1"/>
  <c r="K19" i="6"/>
  <c r="K25" i="6" s="1"/>
  <c r="C20" i="6"/>
  <c r="D20" i="6"/>
  <c r="C21" i="6"/>
  <c r="E38" i="6"/>
  <c r="E44" i="6" s="1"/>
  <c r="G38" i="6"/>
  <c r="G44" i="6" s="1"/>
  <c r="E39" i="6"/>
  <c r="E45" i="6" s="1"/>
  <c r="G39" i="6"/>
  <c r="G45" i="6" s="1"/>
  <c r="O39" i="6"/>
  <c r="N47" i="6" s="1"/>
  <c r="P39" i="6"/>
  <c r="P47" i="6" s="1"/>
  <c r="G40" i="6"/>
  <c r="G46" i="6" s="1"/>
  <c r="O40" i="6"/>
  <c r="N48" i="6" s="1"/>
  <c r="P40" i="6"/>
  <c r="P48" i="6" s="1"/>
  <c r="E41" i="6"/>
  <c r="E47" i="6" s="1"/>
  <c r="G41" i="6"/>
  <c r="G47" i="6" s="1"/>
  <c r="O41" i="6"/>
  <c r="P41" i="6"/>
  <c r="O43" i="6"/>
  <c r="P43" i="6"/>
  <c r="N50" i="6"/>
  <c r="N51" i="6"/>
  <c r="P51" i="6"/>
  <c r="D58" i="6"/>
  <c r="E65" i="6" s="1"/>
  <c r="E58" i="6"/>
  <c r="I58" i="6"/>
  <c r="J58" i="6"/>
  <c r="D59" i="6"/>
  <c r="C67" i="6" s="1"/>
  <c r="E59" i="6"/>
  <c r="E67" i="6" s="1"/>
  <c r="I59" i="6"/>
  <c r="J59" i="6"/>
  <c r="I60" i="6"/>
  <c r="H67" i="6" s="1"/>
  <c r="J60" i="6"/>
  <c r="J67" i="6" s="1"/>
  <c r="D62" i="6"/>
  <c r="E62" i="6"/>
  <c r="I62" i="6"/>
  <c r="J62" i="6"/>
  <c r="H65" i="6"/>
  <c r="J65" i="6"/>
  <c r="C66" i="6"/>
  <c r="D66" i="6"/>
  <c r="E66" i="6"/>
  <c r="H66" i="6"/>
  <c r="I66" i="6"/>
  <c r="J66" i="6"/>
  <c r="C68" i="6"/>
  <c r="D68" i="6"/>
  <c r="E68" i="6"/>
  <c r="H68" i="6"/>
  <c r="I68" i="6"/>
  <c r="J68" i="6"/>
  <c r="C69" i="6"/>
  <c r="D69" i="6"/>
  <c r="E69" i="6"/>
  <c r="H69" i="6"/>
  <c r="I69" i="6"/>
  <c r="J69" i="6"/>
  <c r="M85" i="6"/>
  <c r="L95" i="6" s="1"/>
  <c r="N85" i="6"/>
  <c r="N94" i="6" s="1"/>
  <c r="T85" i="6"/>
  <c r="U85" i="6"/>
  <c r="U93" i="6" s="1"/>
  <c r="M86" i="6"/>
  <c r="S93" i="6" s="1"/>
  <c r="N86" i="6"/>
  <c r="N93" i="6" s="1"/>
  <c r="T86" i="6"/>
  <c r="U86" i="6"/>
  <c r="D87" i="6"/>
  <c r="E87" i="6"/>
  <c r="M87" i="6"/>
  <c r="N87" i="6"/>
  <c r="T87" i="6"/>
  <c r="U87" i="6"/>
  <c r="D88" i="6"/>
  <c r="E88" i="6"/>
  <c r="M89" i="6"/>
  <c r="N89" i="6"/>
  <c r="T89" i="6"/>
  <c r="U89" i="6"/>
  <c r="U96" i="6" s="1"/>
  <c r="D90" i="6"/>
  <c r="C97" i="6" s="1"/>
  <c r="D91" i="6"/>
  <c r="C98" i="6" s="1"/>
  <c r="E91" i="6"/>
  <c r="E98" i="6" s="1"/>
  <c r="S92" i="6"/>
  <c r="T92" i="6"/>
  <c r="U92" i="6"/>
  <c r="L93" i="6"/>
  <c r="C94" i="6"/>
  <c r="E94" i="6"/>
  <c r="C95" i="6"/>
  <c r="E95" i="6"/>
  <c r="L96" i="6"/>
  <c r="M96" i="6"/>
  <c r="N96" i="6"/>
  <c r="S96" i="6"/>
  <c r="T96" i="6"/>
  <c r="E109" i="6"/>
  <c r="F117" i="6" s="1"/>
  <c r="G109" i="6"/>
  <c r="G117" i="6" s="1"/>
  <c r="K109" i="6"/>
  <c r="L109" i="6"/>
  <c r="E110" i="6"/>
  <c r="F118" i="6" s="1"/>
  <c r="G110" i="6"/>
  <c r="G118" i="6" s="1"/>
  <c r="K110" i="6"/>
  <c r="L110" i="6"/>
  <c r="G111" i="6"/>
  <c r="G119" i="6" s="1"/>
  <c r="E112" i="6"/>
  <c r="F119" i="6" s="1"/>
  <c r="G112" i="6"/>
  <c r="G120" i="6" s="1"/>
  <c r="K112" i="6"/>
  <c r="L112" i="6"/>
  <c r="L122" i="6" s="1"/>
  <c r="E113" i="6"/>
  <c r="F121" i="6" s="1"/>
  <c r="G113" i="6"/>
  <c r="G121" i="6" s="1"/>
  <c r="K113" i="6"/>
  <c r="L113" i="6"/>
  <c r="E114" i="6"/>
  <c r="F122" i="6" s="1"/>
  <c r="G114" i="6"/>
  <c r="G122" i="6" s="1"/>
  <c r="K114" i="6"/>
  <c r="L114" i="6"/>
  <c r="X30" i="7" l="1"/>
  <c r="X31" i="7"/>
  <c r="B1" i="7" s="1"/>
  <c r="D1" i="7"/>
  <c r="B3" i="7"/>
  <c r="D2" i="7"/>
  <c r="C3" i="7"/>
  <c r="B2" i="7"/>
  <c r="C1" i="7"/>
  <c r="Y30" i="7"/>
  <c r="Y31" i="7"/>
  <c r="C2" i="7" s="1"/>
  <c r="U95" i="6"/>
  <c r="L92" i="6"/>
  <c r="N92" i="6"/>
  <c r="F47" i="6"/>
  <c r="D65" i="6"/>
  <c r="K24" i="6"/>
  <c r="S95" i="6"/>
  <c r="E46" i="6"/>
  <c r="S94" i="6"/>
  <c r="F45" i="6"/>
  <c r="J24" i="6"/>
  <c r="C65" i="6"/>
  <c r="N95" i="6"/>
  <c r="F46" i="6"/>
  <c r="I24" i="6"/>
  <c r="L94" i="6"/>
  <c r="F44" i="6"/>
  <c r="M92" i="6"/>
  <c r="T95" i="6"/>
  <c r="M95" i="6"/>
  <c r="T94" i="6"/>
  <c r="E120" i="6"/>
  <c r="U94" i="6"/>
  <c r="M94" i="6"/>
  <c r="E97" i="6"/>
  <c r="D67" i="6"/>
  <c r="I67" i="6"/>
  <c r="F4" i="5"/>
  <c r="F5" i="5"/>
  <c r="F6" i="5"/>
  <c r="F7" i="5"/>
  <c r="F8" i="5"/>
  <c r="F9" i="5"/>
  <c r="D13" i="5"/>
  <c r="E13" i="5"/>
  <c r="K13" i="5"/>
  <c r="L13" i="5"/>
  <c r="D20" i="5"/>
  <c r="D21" i="5"/>
  <c r="E21" i="5"/>
  <c r="F21" i="5"/>
  <c r="G21" i="5"/>
  <c r="K21" i="5"/>
  <c r="L21" i="5"/>
  <c r="M21" i="5"/>
  <c r="M28" i="5" s="1"/>
  <c r="N21" i="5"/>
  <c r="N28" i="5" s="1"/>
  <c r="D22" i="5"/>
  <c r="D29" i="5" s="1"/>
  <c r="E22" i="5"/>
  <c r="E29" i="5" s="1"/>
  <c r="E36" i="5" s="1"/>
  <c r="F22" i="5"/>
  <c r="F29" i="5" s="1"/>
  <c r="F36" i="5" s="1"/>
  <c r="G22" i="5"/>
  <c r="G29" i="5" s="1"/>
  <c r="G36" i="5" s="1"/>
  <c r="K22" i="5"/>
  <c r="K28" i="5" s="1"/>
  <c r="L22" i="5"/>
  <c r="M22" i="5"/>
  <c r="N22" i="5"/>
  <c r="D23" i="5"/>
  <c r="E23" i="5"/>
  <c r="F23" i="5"/>
  <c r="G23" i="5"/>
  <c r="K23" i="5"/>
  <c r="L23" i="5"/>
  <c r="M23" i="5"/>
  <c r="N23" i="5"/>
  <c r="D24" i="5"/>
  <c r="E24" i="5"/>
  <c r="F24" i="5"/>
  <c r="G24" i="5"/>
  <c r="K24" i="5"/>
  <c r="L24" i="5"/>
  <c r="M24" i="5"/>
  <c r="N24" i="5"/>
  <c r="D28" i="5"/>
  <c r="E28" i="5"/>
  <c r="E35" i="5" s="1"/>
  <c r="F28" i="5"/>
  <c r="F35" i="5" s="1"/>
  <c r="G28" i="5"/>
  <c r="G35" i="5" s="1"/>
  <c r="M29" i="5"/>
  <c r="N29" i="5"/>
  <c r="D30" i="5"/>
  <c r="E30" i="5"/>
  <c r="F30" i="5"/>
  <c r="G30" i="5"/>
  <c r="M30" i="5"/>
  <c r="N30" i="5"/>
  <c r="D31" i="5"/>
  <c r="E31" i="5"/>
  <c r="F31" i="5"/>
  <c r="G31" i="5"/>
  <c r="M31" i="5"/>
  <c r="N31" i="5"/>
  <c r="K74" i="5"/>
  <c r="K75" i="5"/>
  <c r="K76" i="5"/>
  <c r="B8" i="7" l="1"/>
  <c r="C8" i="7"/>
  <c r="D8" i="7"/>
  <c r="D36" i="5"/>
  <c r="G38" i="5"/>
  <c r="F38" i="5"/>
  <c r="I45" i="5" s="1"/>
  <c r="E38" i="5"/>
  <c r="D38" i="5"/>
  <c r="G37" i="5"/>
  <c r="F37" i="5"/>
  <c r="E37" i="5"/>
  <c r="D37" i="5"/>
  <c r="D35" i="5"/>
  <c r="K30" i="5"/>
  <c r="K31" i="5"/>
  <c r="K29" i="5"/>
  <c r="E8" i="7" l="1"/>
  <c r="H3" i="4"/>
  <c r="I3" i="4"/>
  <c r="J4" i="4"/>
  <c r="J5" i="4"/>
  <c r="J6" i="4"/>
  <c r="J7" i="4"/>
  <c r="J8" i="4"/>
  <c r="E9" i="4"/>
  <c r="J10" i="4"/>
  <c r="B14" i="4"/>
  <c r="C14" i="4"/>
  <c r="E27" i="4"/>
  <c r="F27" i="4"/>
  <c r="G27" i="4"/>
  <c r="E28" i="4"/>
  <c r="F28" i="4"/>
  <c r="G28" i="4"/>
  <c r="E29" i="4"/>
  <c r="F29" i="4"/>
  <c r="F41" i="4" s="1"/>
  <c r="G29" i="4"/>
  <c r="G46" i="4" s="1"/>
  <c r="E30" i="4"/>
  <c r="E44" i="4" s="1"/>
  <c r="F30" i="4"/>
  <c r="F44" i="4" s="1"/>
  <c r="G30" i="4"/>
  <c r="G44" i="4" s="1"/>
  <c r="Q30" i="4"/>
  <c r="E31" i="4"/>
  <c r="F31" i="4"/>
  <c r="G31" i="4"/>
  <c r="Q31" i="4"/>
  <c r="E32" i="4"/>
  <c r="F32" i="4"/>
  <c r="G32" i="4"/>
  <c r="Q32" i="4"/>
  <c r="Q33" i="4"/>
  <c r="H36" i="4"/>
  <c r="H38" i="4"/>
  <c r="E41" i="4"/>
  <c r="M41" i="4"/>
  <c r="N41" i="4"/>
  <c r="O41" i="4"/>
  <c r="O49" i="4" s="1"/>
  <c r="E42" i="4"/>
  <c r="F42" i="4"/>
  <c r="G42" i="4"/>
  <c r="M42" i="4"/>
  <c r="M50" i="4" s="1"/>
  <c r="M61" i="4" s="1"/>
  <c r="N42" i="4"/>
  <c r="N50" i="4" s="1"/>
  <c r="N61" i="4" s="1"/>
  <c r="N72" i="4" s="1"/>
  <c r="O42" i="4"/>
  <c r="O50" i="4" s="1"/>
  <c r="O61" i="4" s="1"/>
  <c r="M43" i="4"/>
  <c r="N43" i="4"/>
  <c r="O43" i="4"/>
  <c r="M44" i="4"/>
  <c r="N44" i="4"/>
  <c r="O44" i="4"/>
  <c r="E45" i="4"/>
  <c r="M45" i="4"/>
  <c r="M53" i="4" s="1"/>
  <c r="N45" i="4"/>
  <c r="N53" i="4" s="1"/>
  <c r="O45" i="4"/>
  <c r="O53" i="4" s="1"/>
  <c r="E46" i="4"/>
  <c r="M46" i="4"/>
  <c r="M54" i="4" s="1"/>
  <c r="M65" i="4" s="1"/>
  <c r="N46" i="4"/>
  <c r="N54" i="4" s="1"/>
  <c r="N65" i="4" s="1"/>
  <c r="N76" i="4" s="1"/>
  <c r="O46" i="4"/>
  <c r="O54" i="4" s="1"/>
  <c r="M49" i="4"/>
  <c r="N49" i="4"/>
  <c r="H50" i="4"/>
  <c r="N71" i="4"/>
  <c r="O65" i="4" l="1"/>
  <c r="O64" i="4"/>
  <c r="N64" i="4"/>
  <c r="N57" i="4"/>
  <c r="M64" i="4"/>
  <c r="N56" i="4"/>
  <c r="F45" i="4"/>
  <c r="O51" i="4"/>
  <c r="F46" i="4"/>
  <c r="G41" i="4"/>
  <c r="O52" i="4"/>
  <c r="G45" i="4"/>
  <c r="Q37" i="4" s="1"/>
  <c r="M52" i="4"/>
  <c r="M63" i="4" s="1"/>
  <c r="M51" i="4"/>
  <c r="M62" i="4" s="1"/>
  <c r="N52" i="4"/>
  <c r="N51" i="4"/>
  <c r="N62" i="4" s="1"/>
  <c r="O63" i="4" l="1"/>
  <c r="N68" i="4"/>
  <c r="N75" i="4"/>
  <c r="N63" i="4"/>
  <c r="N74" i="4" s="1"/>
  <c r="O62" i="4"/>
  <c r="O75" i="4"/>
  <c r="H48" i="4"/>
  <c r="M71" i="4"/>
  <c r="M75" i="4"/>
  <c r="N67" i="4"/>
  <c r="M76" i="4"/>
  <c r="M72" i="4"/>
  <c r="O76" i="4"/>
  <c r="N4" i="3"/>
  <c r="N5" i="3"/>
  <c r="N6" i="3"/>
  <c r="N7" i="3"/>
  <c r="N8" i="3"/>
  <c r="N9" i="3"/>
  <c r="N10" i="3"/>
  <c r="C13" i="3"/>
  <c r="D13" i="3"/>
  <c r="E13" i="3"/>
  <c r="F13" i="3"/>
  <c r="C16" i="3"/>
  <c r="D16" i="3"/>
  <c r="C17" i="3"/>
  <c r="D17" i="3"/>
  <c r="C18" i="3"/>
  <c r="D18" i="3"/>
  <c r="I18" i="3"/>
  <c r="J18" i="3"/>
  <c r="C19" i="3"/>
  <c r="D19" i="3"/>
  <c r="I19" i="3"/>
  <c r="J19" i="3"/>
  <c r="I20" i="3"/>
  <c r="J20" i="3" s="1"/>
  <c r="I21" i="3"/>
  <c r="J21" i="3"/>
  <c r="H4" i="2"/>
  <c r="H5" i="2"/>
  <c r="W5" i="2"/>
  <c r="H6" i="2"/>
  <c r="W6" i="2"/>
  <c r="H7" i="2"/>
  <c r="W7" i="2"/>
  <c r="W8" i="2"/>
  <c r="N29" i="2"/>
  <c r="O29" i="2"/>
  <c r="P29" i="2"/>
  <c r="Q29" i="2"/>
  <c r="R29" i="2"/>
  <c r="S29" i="2"/>
  <c r="N36" i="2"/>
  <c r="O36" i="2"/>
  <c r="P36" i="2"/>
  <c r="Q36" i="2"/>
  <c r="R36" i="2"/>
  <c r="D38" i="2"/>
  <c r="D45" i="2" s="1"/>
  <c r="E38" i="2"/>
  <c r="E45" i="2" s="1"/>
  <c r="F53" i="2" s="1"/>
  <c r="F38" i="2"/>
  <c r="H45" i="2" s="1"/>
  <c r="G38" i="2"/>
  <c r="G45" i="2" s="1"/>
  <c r="G53" i="2" s="1"/>
  <c r="I38" i="2"/>
  <c r="I45" i="2" s="1"/>
  <c r="I53" i="2" s="1"/>
  <c r="N38" i="2"/>
  <c r="O38" i="2"/>
  <c r="P38" i="2"/>
  <c r="Q38" i="2"/>
  <c r="R38" i="2"/>
  <c r="T38" i="2"/>
  <c r="D39" i="2"/>
  <c r="D44" i="2" s="1"/>
  <c r="E39" i="2"/>
  <c r="F39" i="2"/>
  <c r="E44" i="2" s="1"/>
  <c r="G39" i="2"/>
  <c r="G44" i="2" s="1"/>
  <c r="I39" i="2"/>
  <c r="I44" i="2" s="1"/>
  <c r="N39" i="2"/>
  <c r="O39" i="2"/>
  <c r="P39" i="2"/>
  <c r="P46" i="2" s="1"/>
  <c r="R52" i="2" s="1"/>
  <c r="R59" i="2" s="1"/>
  <c r="Q39" i="2"/>
  <c r="Q46" i="2" s="1"/>
  <c r="Q52" i="2" s="1"/>
  <c r="Q59" i="2" s="1"/>
  <c r="Q66" i="2" s="1"/>
  <c r="R39" i="2"/>
  <c r="S46" i="2" s="1"/>
  <c r="S52" i="2" s="1"/>
  <c r="S59" i="2" s="1"/>
  <c r="T39" i="2"/>
  <c r="T46" i="2" s="1"/>
  <c r="T52" i="2" s="1"/>
  <c r="T59" i="2" s="1"/>
  <c r="D40" i="2"/>
  <c r="D47" i="2" s="1"/>
  <c r="E40" i="2"/>
  <c r="E47" i="2" s="1"/>
  <c r="E54" i="2" s="1"/>
  <c r="F40" i="2"/>
  <c r="F47" i="2" s="1"/>
  <c r="G40" i="2"/>
  <c r="G47" i="2" s="1"/>
  <c r="H40" i="2"/>
  <c r="H47" i="2" s="1"/>
  <c r="H54" i="2" s="1"/>
  <c r="I40" i="2"/>
  <c r="I47" i="2" s="1"/>
  <c r="N40" i="2"/>
  <c r="N47" i="2" s="1"/>
  <c r="N54" i="2" s="1"/>
  <c r="O40" i="2"/>
  <c r="P40" i="2"/>
  <c r="Q40" i="2"/>
  <c r="R40" i="2"/>
  <c r="S40" i="2"/>
  <c r="T40" i="2"/>
  <c r="H44" i="2"/>
  <c r="N44" i="2"/>
  <c r="O44" i="2"/>
  <c r="P44" i="2"/>
  <c r="Q44" i="2"/>
  <c r="S44" i="2"/>
  <c r="T44" i="2"/>
  <c r="N46" i="2"/>
  <c r="O46" i="2"/>
  <c r="O52" i="2" s="1"/>
  <c r="O47" i="2"/>
  <c r="P47" i="2"/>
  <c r="P54" i="2" s="1"/>
  <c r="Q47" i="2"/>
  <c r="Q54" i="2" s="1"/>
  <c r="R47" i="2"/>
  <c r="R54" i="2" s="1"/>
  <c r="S47" i="2"/>
  <c r="S54" i="2" s="1"/>
  <c r="T47" i="2"/>
  <c r="T54" i="2" s="1"/>
  <c r="E53" i="2"/>
  <c r="N60" i="2"/>
  <c r="O60" i="2"/>
  <c r="P60" i="2"/>
  <c r="Q60" i="2"/>
  <c r="Q67" i="2" s="1"/>
  <c r="R60" i="2"/>
  <c r="S60" i="2"/>
  <c r="T60" i="2"/>
  <c r="N78" i="4" l="1"/>
  <c r="O71" i="4"/>
  <c r="O72" i="4"/>
  <c r="N79" i="4"/>
  <c r="O74" i="4"/>
  <c r="M74" i="4"/>
  <c r="J22" i="3"/>
  <c r="D53" i="2"/>
  <c r="D54" i="2"/>
  <c r="H51" i="2"/>
  <c r="H53" i="2"/>
  <c r="I51" i="2"/>
  <c r="G54" i="2"/>
  <c r="F54" i="2"/>
  <c r="P59" i="2"/>
  <c r="O59" i="2"/>
  <c r="N52" i="2"/>
  <c r="N59" i="2" s="1"/>
  <c r="T51" i="2"/>
  <c r="G51" i="2"/>
  <c r="I54" i="2"/>
  <c r="S61" i="2"/>
  <c r="R61" i="2"/>
  <c r="P61" i="2"/>
  <c r="S51" i="2"/>
  <c r="Q51" i="2"/>
  <c r="R51" i="2"/>
  <c r="F51" i="2"/>
  <c r="D51" i="2"/>
  <c r="O54" i="2"/>
  <c r="O61" i="2" s="1"/>
  <c r="N51" i="2"/>
  <c r="O51" i="2"/>
  <c r="O84" i="4" l="1"/>
  <c r="O85" i="4"/>
  <c r="M84" i="4"/>
  <c r="M85" i="4"/>
  <c r="N85" i="4"/>
  <c r="O82" i="4"/>
  <c r="M86" i="4"/>
  <c r="O86" i="4"/>
  <c r="N86" i="4"/>
  <c r="N84" i="4"/>
  <c r="O83" i="4"/>
  <c r="N87" i="4"/>
  <c r="M87" i="4"/>
  <c r="N82" i="4"/>
  <c r="M82" i="4"/>
  <c r="N83" i="4"/>
  <c r="M83" i="4"/>
  <c r="O87" i="4"/>
  <c r="O58" i="2"/>
  <c r="P58" i="2"/>
  <c r="N58" i="2"/>
  <c r="Q58" i="2"/>
  <c r="N61" i="2"/>
  <c r="P66" i="2"/>
  <c r="Q61" i="2"/>
  <c r="Q68" i="2" s="1"/>
  <c r="T61" i="2"/>
  <c r="T68" i="2" s="1"/>
  <c r="R58" i="2"/>
  <c r="S58" i="2"/>
  <c r="R67" i="2" l="1"/>
  <c r="R66" i="2"/>
  <c r="S67" i="2"/>
  <c r="S66" i="2"/>
  <c r="O68" i="2"/>
  <c r="S68" i="2"/>
  <c r="T67" i="2"/>
  <c r="T66" i="2"/>
  <c r="N68" i="2"/>
  <c r="P68" i="2"/>
  <c r="N67" i="2"/>
  <c r="O66" i="2"/>
  <c r="R68" i="2"/>
  <c r="P67" i="2"/>
  <c r="O67" i="2"/>
  <c r="N66" i="2"/>
  <c r="W27" i="8"/>
  <c r="V27" i="8"/>
  <c r="U27" i="8"/>
  <c r="T27" i="8"/>
  <c r="S27" i="8"/>
  <c r="R27" i="8"/>
  <c r="Q27" i="8"/>
  <c r="P27" i="8"/>
  <c r="O27" i="8"/>
  <c r="W26" i="8"/>
  <c r="V26" i="8"/>
  <c r="U26" i="8"/>
  <c r="T26" i="8"/>
  <c r="S26" i="8"/>
  <c r="R26" i="8"/>
  <c r="Q26" i="8"/>
  <c r="P26" i="8"/>
  <c r="O26" i="8"/>
  <c r="W24" i="8"/>
  <c r="V24" i="8"/>
  <c r="U24" i="8"/>
  <c r="T24" i="8"/>
  <c r="S24" i="8"/>
  <c r="R24" i="8"/>
  <c r="Q24" i="8"/>
  <c r="P24" i="8"/>
  <c r="O24" i="8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<sst xmlns="http://schemas.openxmlformats.org/spreadsheetml/2006/main" count="897" uniqueCount="211">
  <si>
    <t>Z=</t>
  </si>
  <si>
    <t>X12</t>
  </si>
  <si>
    <t>V12</t>
  </si>
  <si>
    <t>X22</t>
  </si>
  <si>
    <t>V22</t>
  </si>
  <si>
    <t>X21</t>
  </si>
  <si>
    <t>V21</t>
  </si>
  <si>
    <t>W=</t>
  </si>
  <si>
    <t>-X31</t>
  </si>
  <si>
    <t>-Х13</t>
  </si>
  <si>
    <t>-X11</t>
  </si>
  <si>
    <t>U1</t>
  </si>
  <si>
    <t>U2</t>
  </si>
  <si>
    <t>V31</t>
  </si>
  <si>
    <t>U3</t>
  </si>
  <si>
    <t>V13</t>
  </si>
  <si>
    <t>V11=</t>
  </si>
  <si>
    <t>X13</t>
  </si>
  <si>
    <t>X31</t>
  </si>
  <si>
    <t>-X21</t>
  </si>
  <si>
    <t>V21=</t>
  </si>
  <si>
    <t>-X12</t>
  </si>
  <si>
    <t>V12=</t>
  </si>
  <si>
    <t>0=</t>
  </si>
  <si>
    <t>-X13</t>
  </si>
  <si>
    <t>V13=</t>
  </si>
  <si>
    <t>V22=</t>
  </si>
  <si>
    <t>V31=</t>
  </si>
  <si>
    <t>x13</t>
  </si>
  <si>
    <t>x22</t>
  </si>
  <si>
    <t>x12</t>
  </si>
  <si>
    <t>x31</t>
  </si>
  <si>
    <t>x21</t>
  </si>
  <si>
    <t>x11</t>
  </si>
  <si>
    <t>Задача выбора оптимальной стратегии управления финансовыми ресурсами</t>
  </si>
  <si>
    <t>1 задание</t>
  </si>
  <si>
    <t>X</t>
  </si>
  <si>
    <t>a</t>
  </si>
  <si>
    <t>y</t>
  </si>
  <si>
    <t>b</t>
  </si>
  <si>
    <t>y4</t>
  </si>
  <si>
    <t>y3</t>
  </si>
  <si>
    <t>y2</t>
  </si>
  <si>
    <t>y1</t>
  </si>
  <si>
    <t>x42</t>
  </si>
  <si>
    <t>x32</t>
  </si>
  <si>
    <t>x41</t>
  </si>
  <si>
    <t>Оптимальное размещение предприятий</t>
  </si>
  <si>
    <t>z2</t>
  </si>
  <si>
    <t>Z1-Z2</t>
  </si>
  <si>
    <t>x2</t>
  </si>
  <si>
    <t>X1</t>
  </si>
  <si>
    <t>Y4</t>
  </si>
  <si>
    <t>Y1</t>
  </si>
  <si>
    <t>lam2=</t>
  </si>
  <si>
    <t>lam1</t>
  </si>
  <si>
    <t>=</t>
  </si>
  <si>
    <t>x1</t>
  </si>
  <si>
    <t>-X1</t>
  </si>
  <si>
    <t>-X2</t>
  </si>
  <si>
    <t xml:space="preserve">значит берем 1 столбец </t>
  </si>
  <si>
    <t>&gt; 0</t>
  </si>
  <si>
    <t>&lt; 0</t>
  </si>
  <si>
    <t>Отрицательных свободных членов нет, значит находим  ∆</t>
  </si>
  <si>
    <t xml:space="preserve">x2 </t>
  </si>
  <si>
    <t>t0</t>
  </si>
  <si>
    <t>t2</t>
  </si>
  <si>
    <t>t1</t>
  </si>
  <si>
    <t>Объемное планирование с дробно-линейным критерием эффективности</t>
  </si>
  <si>
    <t>Z1=</t>
  </si>
  <si>
    <t>X11</t>
  </si>
  <si>
    <t>V</t>
  </si>
  <si>
    <t>Y11</t>
  </si>
  <si>
    <t>U11</t>
  </si>
  <si>
    <t>r1</t>
  </si>
  <si>
    <t>S1</t>
  </si>
  <si>
    <t>Y12</t>
  </si>
  <si>
    <t>U12</t>
  </si>
  <si>
    <t>Y12=</t>
  </si>
  <si>
    <t>S</t>
  </si>
  <si>
    <t>U</t>
  </si>
  <si>
    <t>Y11=</t>
  </si>
  <si>
    <t>S1=</t>
  </si>
  <si>
    <t>. Задача объемного планирования</t>
  </si>
  <si>
    <t>Z</t>
  </si>
  <si>
    <t>y5</t>
  </si>
  <si>
    <t>-x2</t>
  </si>
  <si>
    <t>-x1</t>
  </si>
  <si>
    <t>не совместимость</t>
  </si>
  <si>
    <t>X2</t>
  </si>
  <si>
    <t>Выбор производственного оборудования:</t>
  </si>
  <si>
    <t>F1`</t>
  </si>
  <si>
    <t>x3</t>
  </si>
  <si>
    <t>m3</t>
  </si>
  <si>
    <t>m2</t>
  </si>
  <si>
    <t>m1</t>
  </si>
  <si>
    <r>
      <t>R</t>
    </r>
    <r>
      <rPr>
        <i/>
        <vertAlign val="subscript"/>
        <sz val="14"/>
        <color theme="1"/>
        <rFont val="Times New Roman"/>
        <family val="1"/>
        <charset val="204"/>
      </rPr>
      <t>3t</t>
    </r>
    <r>
      <rPr>
        <i/>
        <sz val="14"/>
        <color theme="1"/>
        <rFont val="Times New Roman"/>
        <family val="1"/>
        <charset val="204"/>
      </rPr>
      <t>-m</t>
    </r>
    <r>
      <rPr>
        <i/>
        <vertAlign val="subscript"/>
        <sz val="14"/>
        <color theme="1"/>
        <rFont val="Times New Roman"/>
        <family val="1"/>
        <charset val="204"/>
      </rPr>
      <t>3</t>
    </r>
  </si>
  <si>
    <r>
      <t>R</t>
    </r>
    <r>
      <rPr>
        <i/>
        <vertAlign val="subscript"/>
        <sz val="14"/>
        <color theme="1"/>
        <rFont val="Times New Roman"/>
        <family val="1"/>
        <charset val="204"/>
      </rPr>
      <t>2t</t>
    </r>
    <r>
      <rPr>
        <i/>
        <sz val="14"/>
        <color theme="1"/>
        <rFont val="Times New Roman"/>
        <family val="1"/>
        <charset val="204"/>
      </rPr>
      <t>-m</t>
    </r>
    <r>
      <rPr>
        <i/>
        <vertAlign val="subscript"/>
        <sz val="14"/>
        <color theme="1"/>
        <rFont val="Times New Roman"/>
        <family val="1"/>
        <charset val="204"/>
      </rPr>
      <t>2</t>
    </r>
  </si>
  <si>
    <r>
      <t>R</t>
    </r>
    <r>
      <rPr>
        <i/>
        <vertAlign val="subscript"/>
        <sz val="14"/>
        <color theme="1"/>
        <rFont val="Times New Roman"/>
        <family val="1"/>
        <charset val="204"/>
      </rPr>
      <t>1t</t>
    </r>
    <r>
      <rPr>
        <i/>
        <sz val="14"/>
        <color theme="1"/>
        <rFont val="Times New Roman"/>
        <family val="1"/>
        <charset val="204"/>
      </rPr>
      <t>-m</t>
    </r>
    <r>
      <rPr>
        <i/>
        <vertAlign val="subscript"/>
        <sz val="14"/>
        <color theme="1"/>
        <rFont val="Times New Roman"/>
        <family val="1"/>
        <charset val="204"/>
      </rPr>
      <t>1</t>
    </r>
  </si>
  <si>
    <r>
      <t>R</t>
    </r>
    <r>
      <rPr>
        <i/>
        <sz val="9"/>
        <color theme="1"/>
        <rFont val="Times New Roman"/>
        <family val="1"/>
        <charset val="204"/>
      </rPr>
      <t>3t</t>
    </r>
  </si>
  <si>
    <r>
      <t>R</t>
    </r>
    <r>
      <rPr>
        <i/>
        <sz val="9"/>
        <color theme="1"/>
        <rFont val="Times New Roman"/>
        <family val="1"/>
        <charset val="204"/>
      </rPr>
      <t>2t</t>
    </r>
  </si>
  <si>
    <r>
      <t>R</t>
    </r>
    <r>
      <rPr>
        <i/>
        <sz val="9"/>
        <color theme="1"/>
        <rFont val="Times New Roman"/>
        <family val="1"/>
        <charset val="204"/>
      </rPr>
      <t>1t</t>
    </r>
  </si>
  <si>
    <t>C</t>
  </si>
  <si>
    <t>Дивиденды</t>
  </si>
  <si>
    <t>Курс C</t>
  </si>
  <si>
    <t>B</t>
  </si>
  <si>
    <t>Курс B</t>
  </si>
  <si>
    <t>A</t>
  </si>
  <si>
    <t>Курс A</t>
  </si>
  <si>
    <t>Месяц</t>
  </si>
  <si>
    <t>M1</t>
  </si>
  <si>
    <t>COV</t>
  </si>
  <si>
    <t>Работа V</t>
  </si>
  <si>
    <t>t V</t>
  </si>
  <si>
    <t>Работа Q</t>
  </si>
  <si>
    <t>t Q</t>
  </si>
  <si>
    <t>Работа H</t>
  </si>
  <si>
    <t>t H</t>
  </si>
  <si>
    <t>Работа G</t>
  </si>
  <si>
    <t>t G</t>
  </si>
  <si>
    <t>Работа F</t>
  </si>
  <si>
    <t>t F</t>
  </si>
  <si>
    <t>Работа E</t>
  </si>
  <si>
    <t>t E</t>
  </si>
  <si>
    <t>Работа D</t>
  </si>
  <si>
    <t>t D</t>
  </si>
  <si>
    <t>Работа C</t>
  </si>
  <si>
    <t>t C</t>
  </si>
  <si>
    <t>Работа B</t>
  </si>
  <si>
    <t>t B</t>
  </si>
  <si>
    <t>Работа A</t>
  </si>
  <si>
    <t>t A</t>
  </si>
  <si>
    <t>Sy</t>
  </si>
  <si>
    <r>
      <t>Δ</t>
    </r>
    <r>
      <rPr>
        <sz val="11"/>
        <color theme="1"/>
        <rFont val="Calibri"/>
        <family val="2"/>
        <scheme val="minor"/>
      </rPr>
      <t>t</t>
    </r>
  </si>
  <si>
    <t>Tdir</t>
  </si>
  <si>
    <t>Q</t>
  </si>
  <si>
    <t>G, Q</t>
  </si>
  <si>
    <t>H</t>
  </si>
  <si>
    <t>G</t>
  </si>
  <si>
    <t>E</t>
  </si>
  <si>
    <t>F</t>
  </si>
  <si>
    <t>C, A</t>
  </si>
  <si>
    <t>D</t>
  </si>
  <si>
    <t>стоимость в норм.режиме</t>
  </si>
  <si>
    <t>удорожание</t>
  </si>
  <si>
    <t>Tk</t>
  </si>
  <si>
    <t>Δ</t>
  </si>
  <si>
    <r>
      <t>C</t>
    </r>
    <r>
      <rPr>
        <vertAlign val="superscript"/>
        <sz val="10"/>
        <rFont val="Arial Cyr"/>
        <charset val="204"/>
      </rPr>
      <t>с</t>
    </r>
  </si>
  <si>
    <r>
      <t>C</t>
    </r>
    <r>
      <rPr>
        <vertAlign val="superscript"/>
        <sz val="10"/>
        <rFont val="Arial Cyr"/>
        <charset val="204"/>
      </rPr>
      <t>n</t>
    </r>
  </si>
  <si>
    <r>
      <t>t</t>
    </r>
    <r>
      <rPr>
        <vertAlign val="superscript"/>
        <sz val="10"/>
        <rFont val="Arial Cyr"/>
        <charset val="204"/>
      </rPr>
      <t>с</t>
    </r>
  </si>
  <si>
    <r>
      <t>t</t>
    </r>
    <r>
      <rPr>
        <vertAlign val="superscript"/>
        <sz val="10"/>
        <rFont val="Arial Cyr"/>
        <charset val="204"/>
      </rPr>
      <t>n</t>
    </r>
  </si>
  <si>
    <t>Предш.</t>
  </si>
  <si>
    <t>Имя</t>
  </si>
  <si>
    <t>t</t>
  </si>
  <si>
    <t>v</t>
  </si>
  <si>
    <t>q</t>
  </si>
  <si>
    <t>h</t>
  </si>
  <si>
    <t>g</t>
  </si>
  <si>
    <t>f</t>
  </si>
  <si>
    <t>e</t>
  </si>
  <si>
    <t>d</t>
  </si>
  <si>
    <t>c</t>
  </si>
  <si>
    <t>Работы</t>
  </si>
  <si>
    <t>Xv</t>
  </si>
  <si>
    <t>Xq</t>
  </si>
  <si>
    <t>Xh</t>
  </si>
  <si>
    <t>Xg</t>
  </si>
  <si>
    <t>Xf</t>
  </si>
  <si>
    <t>Xe</t>
  </si>
  <si>
    <t>Xd</t>
  </si>
  <si>
    <t>Xc</t>
  </si>
  <si>
    <t>Xb</t>
  </si>
  <si>
    <t>Xa</t>
  </si>
  <si>
    <t>Tt</t>
  </si>
  <si>
    <t>Tv</t>
  </si>
  <si>
    <t>Tq</t>
  </si>
  <si>
    <t>Th</t>
  </si>
  <si>
    <t>Tg</t>
  </si>
  <si>
    <t>Tf</t>
  </si>
  <si>
    <t>Te</t>
  </si>
  <si>
    <t>Td</t>
  </si>
  <si>
    <t>Tc</t>
  </si>
  <si>
    <t>Tb</t>
  </si>
  <si>
    <t>Ta</t>
  </si>
  <si>
    <t>f4=15.2+22.4x4</t>
  </si>
  <si>
    <t>h3</t>
  </si>
  <si>
    <t>x4</t>
  </si>
  <si>
    <t>Апрель спрос</t>
  </si>
  <si>
    <t>w4</t>
  </si>
  <si>
    <t>h3+x4=2</t>
  </si>
  <si>
    <t>W3</t>
  </si>
  <si>
    <t xml:space="preserve">f3=5+21.5x3+h3 </t>
  </si>
  <si>
    <t>h2</t>
  </si>
  <si>
    <t>Март спрос</t>
  </si>
  <si>
    <t>h2+x3-h3=7</t>
  </si>
  <si>
    <t>W2</t>
  </si>
  <si>
    <t xml:space="preserve">f2=14.8+21x2+0,2h2 </t>
  </si>
  <si>
    <t>h1</t>
  </si>
  <si>
    <t>Февраль спрос</t>
  </si>
  <si>
    <t>h1+x2-h2=2</t>
  </si>
  <si>
    <t xml:space="preserve">f1=5.2+20.2x1+0,9h1 </t>
  </si>
  <si>
    <t>Январь спрос</t>
  </si>
  <si>
    <t>W1</t>
  </si>
  <si>
    <t>x1-h1=9</t>
  </si>
  <si>
    <t>p</t>
  </si>
  <si>
    <t>c1</t>
  </si>
  <si>
    <t>s</t>
  </si>
  <si>
    <t>m,v</t>
  </si>
  <si>
    <t>z</t>
  </si>
  <si>
    <t>month</t>
  </si>
  <si>
    <t>Календарное планирование производства и управление запасами: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</si>
</sst>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vertAlign val="subscript"/>
      <sz val="14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sz val="9"/>
      <color theme="1"/>
      <name val="Courier New"/>
      <family val="3"/>
      <charset val="204"/>
    </font>
    <font>
      <sz val="7"/>
      <color theme="1"/>
      <name val="Times New Roman"/>
      <family val="1"/>
      <charset val="204"/>
    </font>
    <font>
      <sz val="8"/>
      <name val="Times New Roman"/>
      <family val="1"/>
      <charset val="204"/>
    </font>
    <font>
      <sz val="10"/>
      <name val="Arial"/>
      <family val="2"/>
      <charset val="204"/>
    </font>
    <font>
      <vertAlign val="superscript"/>
      <sz val="10"/>
      <name val="Arial Cyr"/>
      <charset val="204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 style="medium">
        <color rgb="FF0000FF"/>
      </left>
      <right style="medium">
        <color rgb="FF0000FF"/>
      </right>
      <top/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</cellStyleXfs>
  <cellXfs count="161">
    <xf numFmtId="0" fontId="0" fillId="0" borderId="0" xfId="0"/>
    <xf numFmtId="0" fontId="0" fillId="0" borderId="1" xfId="0" applyBorder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3" xfId="0" applyBorder="1"/>
    <xf numFmtId="0" fontId="2" fillId="0" borderId="12" xfId="0" applyFont="1" applyBorder="1"/>
    <xf numFmtId="0" fontId="0" fillId="0" borderId="0" xfId="0" quotePrefix="1"/>
    <xf numFmtId="0" fontId="0" fillId="0" borderId="13" xfId="0" applyBorder="1"/>
    <xf numFmtId="0" fontId="2" fillId="0" borderId="14" xfId="0" applyFont="1" applyBorder="1"/>
    <xf numFmtId="0" fontId="0" fillId="0" borderId="15" xfId="0" applyBorder="1"/>
    <xf numFmtId="0" fontId="0" fillId="5" borderId="2" xfId="0" applyFill="1" applyBorder="1"/>
    <xf numFmtId="0" fontId="0" fillId="5" borderId="0" xfId="0" applyFill="1"/>
    <xf numFmtId="0" fontId="0" fillId="5" borderId="9" xfId="0" applyFill="1" applyBorder="1"/>
    <xf numFmtId="0" fontId="0" fillId="5" borderId="10" xfId="0" applyFill="1" applyBorder="1"/>
    <xf numFmtId="0" fontId="0" fillId="6" borderId="10" xfId="0" applyFill="1" applyBorder="1"/>
    <xf numFmtId="0" fontId="0" fillId="5" borderId="11" xfId="0" applyFill="1" applyBorder="1"/>
    <xf numFmtId="0" fontId="0" fillId="0" borderId="16" xfId="0" applyBorder="1"/>
    <xf numFmtId="0" fontId="0" fillId="5" borderId="7" xfId="0" applyFill="1" applyBorder="1"/>
    <xf numFmtId="0" fontId="0" fillId="6" borderId="0" xfId="0" applyFill="1"/>
    <xf numFmtId="0" fontId="0" fillId="5" borderId="8" xfId="0" applyFill="1" applyBorder="1"/>
    <xf numFmtId="0" fontId="0" fillId="5" borderId="5" xfId="0" applyFill="1" applyBorder="1"/>
    <xf numFmtId="0" fontId="0" fillId="5" borderId="13" xfId="0" applyFill="1" applyBorder="1"/>
    <xf numFmtId="0" fontId="0" fillId="0" borderId="17" xfId="0" applyBorder="1"/>
    <xf numFmtId="0" fontId="2" fillId="0" borderId="18" xfId="0" applyFont="1" applyBorder="1"/>
    <xf numFmtId="0" fontId="0" fillId="0" borderId="19" xfId="0" applyBorder="1"/>
    <xf numFmtId="0" fontId="0" fillId="6" borderId="5" xfId="0" applyFill="1" applyBorder="1"/>
    <xf numFmtId="0" fontId="0" fillId="5" borderId="16" xfId="0" applyFill="1" applyBorder="1"/>
    <xf numFmtId="0" fontId="0" fillId="0" borderId="20" xfId="0" applyBorder="1"/>
    <xf numFmtId="0" fontId="0" fillId="0" borderId="21" xfId="0" applyBorder="1"/>
    <xf numFmtId="0" fontId="0" fillId="0" borderId="18" xfId="0" applyBorder="1"/>
    <xf numFmtId="0" fontId="0" fillId="0" borderId="12" xfId="0" applyBorder="1"/>
    <xf numFmtId="0" fontId="0" fillId="5" borderId="12" xfId="0" applyFill="1" applyBorder="1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0" fillId="7" borderId="0" xfId="0" applyFill="1"/>
    <xf numFmtId="0" fontId="0" fillId="8" borderId="0" xfId="0" applyFill="1"/>
    <xf numFmtId="0" fontId="0" fillId="6" borderId="25" xfId="0" applyFill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6" borderId="3" xfId="0" applyFill="1" applyBorder="1"/>
    <xf numFmtId="0" fontId="0" fillId="0" borderId="23" xfId="0" applyBorder="1"/>
    <xf numFmtId="0" fontId="0" fillId="0" borderId="30" xfId="0" applyBorder="1"/>
    <xf numFmtId="0" fontId="0" fillId="0" borderId="31" xfId="0" applyBorder="1"/>
    <xf numFmtId="0" fontId="0" fillId="5" borderId="30" xfId="0" applyFill="1" applyBorder="1"/>
    <xf numFmtId="0" fontId="0" fillId="5" borderId="3" xfId="0" applyFill="1" applyBorder="1"/>
    <xf numFmtId="0" fontId="0" fillId="5" borderId="31" xfId="0" applyFill="1" applyBorder="1"/>
    <xf numFmtId="0" fontId="0" fillId="6" borderId="11" xfId="0" applyFill="1" applyBorder="1"/>
    <xf numFmtId="0" fontId="0" fillId="6" borderId="8" xfId="0" applyFill="1" applyBorder="1"/>
    <xf numFmtId="0" fontId="0" fillId="5" borderId="1" xfId="0" applyFill="1" applyBorder="1"/>
    <xf numFmtId="0" fontId="0" fillId="6" borderId="2" xfId="0" applyFill="1" applyBorder="1"/>
    <xf numFmtId="1" fontId="0" fillId="0" borderId="0" xfId="0" applyNumberFormat="1"/>
    <xf numFmtId="0" fontId="0" fillId="5" borderId="27" xfId="0" applyFill="1" applyBorder="1"/>
    <xf numFmtId="0" fontId="0" fillId="5" borderId="26" xfId="0" applyFill="1" applyBorder="1"/>
    <xf numFmtId="0" fontId="0" fillId="6" borderId="26" xfId="0" applyFill="1" applyBorder="1"/>
    <xf numFmtId="0" fontId="0" fillId="6" borderId="27" xfId="0" applyFill="1" applyBorder="1"/>
    <xf numFmtId="0" fontId="0" fillId="5" borderId="28" xfId="0" applyFill="1" applyBorder="1"/>
    <xf numFmtId="0" fontId="0" fillId="6" borderId="16" xfId="0" applyFill="1" applyBorder="1"/>
    <xf numFmtId="0" fontId="0" fillId="5" borderId="17" xfId="0" applyFill="1" applyBorder="1"/>
    <xf numFmtId="0" fontId="0" fillId="5" borderId="29" xfId="0" applyFill="1" applyBorder="1"/>
    <xf numFmtId="0" fontId="0" fillId="6" borderId="28" xfId="0" applyFill="1" applyBorder="1"/>
    <xf numFmtId="2" fontId="0" fillId="0" borderId="0" xfId="0" applyNumberFormat="1"/>
    <xf numFmtId="2" fontId="0" fillId="6" borderId="0" xfId="0" applyNumberFormat="1" applyFill="1"/>
    <xf numFmtId="164" fontId="0" fillId="0" borderId="0" xfId="0" applyNumberFormat="1"/>
    <xf numFmtId="164" fontId="3" fillId="0" borderId="32" xfId="0" applyNumberFormat="1" applyFont="1" applyBorder="1" applyAlignment="1">
      <alignment horizontal="center" vertical="center" wrapText="1"/>
    </xf>
    <xf numFmtId="164" fontId="3" fillId="0" borderId="33" xfId="0" applyNumberFormat="1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right" vertical="center"/>
    </xf>
    <xf numFmtId="2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2" fontId="7" fillId="9" borderId="0" xfId="0" applyNumberFormat="1" applyFont="1" applyFill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2" fontId="7" fillId="9" borderId="0" xfId="0" applyNumberFormat="1" applyFont="1" applyFill="1" applyAlignment="1">
      <alignment horizontal="center" vertical="center"/>
    </xf>
    <xf numFmtId="0" fontId="8" fillId="9" borderId="0" xfId="0" applyFont="1" applyFill="1" applyAlignment="1">
      <alignment vertical="center"/>
    </xf>
    <xf numFmtId="0" fontId="7" fillId="9" borderId="0" xfId="0" applyFont="1" applyFill="1" applyAlignment="1">
      <alignment horizontal="left" vertical="center"/>
    </xf>
    <xf numFmtId="0" fontId="7" fillId="9" borderId="0" xfId="0" applyFont="1" applyFill="1" applyAlignment="1">
      <alignment horizontal="center" vertical="center"/>
    </xf>
    <xf numFmtId="0" fontId="1" fillId="0" borderId="0" xfId="4"/>
    <xf numFmtId="0" fontId="1" fillId="0" borderId="1" xfId="4" applyBorder="1"/>
    <xf numFmtId="0" fontId="1" fillId="0" borderId="2" xfId="4" applyBorder="1"/>
    <xf numFmtId="0" fontId="1" fillId="10" borderId="3" xfId="4" applyFill="1" applyBorder="1"/>
    <xf numFmtId="0" fontId="1" fillId="0" borderId="7" xfId="4" applyBorder="1"/>
    <xf numFmtId="0" fontId="1" fillId="0" borderId="8" xfId="4" applyBorder="1"/>
    <xf numFmtId="0" fontId="1" fillId="10" borderId="8" xfId="4" applyFill="1" applyBorder="1"/>
    <xf numFmtId="0" fontId="1" fillId="0" borderId="9" xfId="4" applyBorder="1"/>
    <xf numFmtId="0" fontId="1" fillId="0" borderId="10" xfId="4" applyBorder="1"/>
    <xf numFmtId="0" fontId="1" fillId="0" borderId="11" xfId="4" applyBorder="1"/>
    <xf numFmtId="0" fontId="1" fillId="3" borderId="1" xfId="2" applyBorder="1"/>
    <xf numFmtId="0" fontId="1" fillId="0" borderId="3" xfId="4" applyBorder="1"/>
    <xf numFmtId="0" fontId="1" fillId="3" borderId="7" xfId="2" applyBorder="1"/>
    <xf numFmtId="0" fontId="1" fillId="3" borderId="23" xfId="2" applyBorder="1"/>
    <xf numFmtId="0" fontId="1" fillId="0" borderId="30" xfId="4" applyBorder="1"/>
    <xf numFmtId="0" fontId="1" fillId="0" borderId="31" xfId="4" applyBorder="1"/>
    <xf numFmtId="0" fontId="1" fillId="4" borderId="0" xfId="3" applyBorder="1"/>
    <xf numFmtId="0" fontId="1" fillId="2" borderId="7" xfId="1" applyBorder="1"/>
    <xf numFmtId="0" fontId="1" fillId="2" borderId="0" xfId="1"/>
    <xf numFmtId="0" fontId="1" fillId="4" borderId="7" xfId="3" applyBorder="1"/>
    <xf numFmtId="0" fontId="1" fillId="4" borderId="0" xfId="3"/>
    <xf numFmtId="0" fontId="1" fillId="4" borderId="36" xfId="3" applyBorder="1" applyAlignment="1">
      <alignment horizontal="center"/>
    </xf>
    <xf numFmtId="0" fontId="1" fillId="2" borderId="37" xfId="1" applyBorder="1" applyAlignment="1">
      <alignment horizontal="center"/>
    </xf>
    <xf numFmtId="0" fontId="1" fillId="2" borderId="38" xfId="1" applyBorder="1" applyAlignment="1">
      <alignment horizontal="center"/>
    </xf>
    <xf numFmtId="0" fontId="1" fillId="2" borderId="39" xfId="1" applyBorder="1" applyAlignment="1">
      <alignment horizontal="center"/>
    </xf>
    <xf numFmtId="0" fontId="1" fillId="0" borderId="40" xfId="4" applyBorder="1"/>
    <xf numFmtId="0" fontId="7" fillId="0" borderId="0" xfId="4" applyFont="1" applyAlignment="1">
      <alignment horizontal="center" vertical="center" wrapText="1"/>
    </xf>
    <xf numFmtId="0" fontId="7" fillId="0" borderId="0" xfId="4" applyFont="1" applyAlignment="1">
      <alignment vertical="center" wrapText="1"/>
    </xf>
    <xf numFmtId="0" fontId="1" fillId="0" borderId="16" xfId="4" applyBorder="1"/>
    <xf numFmtId="0" fontId="8" fillId="0" borderId="0" xfId="4" applyFont="1" applyAlignment="1">
      <alignment vertical="center" wrapText="1"/>
    </xf>
    <xf numFmtId="0" fontId="1" fillId="0" borderId="40" xfId="4" applyBorder="1" applyAlignment="1">
      <alignment horizontal="center"/>
    </xf>
    <xf numFmtId="0" fontId="1" fillId="0" borderId="41" xfId="4" applyBorder="1"/>
    <xf numFmtId="0" fontId="1" fillId="0" borderId="13" xfId="4" applyBorder="1"/>
    <xf numFmtId="0" fontId="1" fillId="0" borderId="41" xfId="4" applyBorder="1" applyAlignment="1">
      <alignment horizontal="center"/>
    </xf>
    <xf numFmtId="0" fontId="1" fillId="11" borderId="0" xfId="4" applyFill="1"/>
    <xf numFmtId="0" fontId="1" fillId="0" borderId="42" xfId="4" applyBorder="1"/>
    <xf numFmtId="0" fontId="1" fillId="0" borderId="17" xfId="4" applyBorder="1"/>
    <xf numFmtId="0" fontId="9" fillId="0" borderId="25" xfId="4" applyFont="1" applyBorder="1" applyAlignment="1">
      <alignment horizontal="center" wrapText="1"/>
    </xf>
    <xf numFmtId="0" fontId="10" fillId="0" borderId="25" xfId="4" applyFont="1" applyBorder="1" applyAlignment="1">
      <alignment horizontal="center"/>
    </xf>
    <xf numFmtId="0" fontId="9" fillId="0" borderId="25" xfId="4" applyFont="1" applyBorder="1" applyAlignment="1">
      <alignment horizontal="center"/>
    </xf>
    <xf numFmtId="0" fontId="1" fillId="0" borderId="43" xfId="4" applyBorder="1" applyAlignment="1">
      <alignment horizontal="center"/>
    </xf>
    <xf numFmtId="0" fontId="1" fillId="0" borderId="44" xfId="4" applyBorder="1" applyAlignment="1">
      <alignment horizontal="center"/>
    </xf>
    <xf numFmtId="0" fontId="1" fillId="0" borderId="25" xfId="4" applyBorder="1" applyAlignment="1">
      <alignment horizontal="center"/>
    </xf>
    <xf numFmtId="0" fontId="1" fillId="6" borderId="0" xfId="4" applyFill="1"/>
    <xf numFmtId="0" fontId="1" fillId="5" borderId="0" xfId="4" applyFill="1"/>
    <xf numFmtId="1" fontId="1" fillId="0" borderId="0" xfId="4" applyNumberFormat="1"/>
    <xf numFmtId="0" fontId="1" fillId="9" borderId="7" xfId="4" applyFill="1" applyBorder="1"/>
    <xf numFmtId="0" fontId="1" fillId="9" borderId="0" xfId="4" applyFill="1"/>
    <xf numFmtId="0" fontId="0" fillId="12" borderId="22" xfId="0" applyFill="1" applyBorder="1"/>
    <xf numFmtId="0" fontId="0" fillId="12" borderId="2" xfId="0" applyFill="1" applyBorder="1"/>
    <xf numFmtId="0" fontId="0" fillId="12" borderId="1" xfId="0" applyFill="1" applyBorder="1"/>
    <xf numFmtId="0" fontId="0" fillId="12" borderId="3" xfId="0" applyFill="1" applyBorder="1"/>
    <xf numFmtId="0" fontId="0" fillId="13" borderId="45" xfId="0" applyFill="1" applyBorder="1"/>
    <xf numFmtId="0" fontId="0" fillId="13" borderId="0" xfId="0" applyFill="1"/>
    <xf numFmtId="0" fontId="0" fillId="13" borderId="7" xfId="0" applyFill="1" applyBorder="1"/>
    <xf numFmtId="0" fontId="0" fillId="13" borderId="8" xfId="0" applyFill="1" applyBorder="1"/>
    <xf numFmtId="0" fontId="0" fillId="0" borderId="45" xfId="0" applyBorder="1"/>
    <xf numFmtId="0" fontId="0" fillId="0" borderId="24" xfId="0" applyBorder="1"/>
    <xf numFmtId="0" fontId="0" fillId="0" borderId="46" xfId="0" applyBorder="1"/>
    <xf numFmtId="0" fontId="0" fillId="13" borderId="22" xfId="0" applyFill="1" applyBorder="1"/>
    <xf numFmtId="0" fontId="0" fillId="13" borderId="2" xfId="0" applyFill="1" applyBorder="1"/>
    <xf numFmtId="0" fontId="0" fillId="13" borderId="1" xfId="0" applyFill="1" applyBorder="1"/>
    <xf numFmtId="0" fontId="0" fillId="13" borderId="3" xfId="0" applyFill="1" applyBorder="1"/>
    <xf numFmtId="0" fontId="0" fillId="12" borderId="45" xfId="0" applyFill="1" applyBorder="1"/>
    <xf numFmtId="0" fontId="0" fillId="12" borderId="0" xfId="0" applyFill="1"/>
    <xf numFmtId="0" fontId="0" fillId="12" borderId="7" xfId="0" applyFill="1" applyBorder="1"/>
    <xf numFmtId="0" fontId="0" fillId="12" borderId="8" xfId="0" applyFill="1" applyBorder="1"/>
    <xf numFmtId="0" fontId="0" fillId="0" borderId="0" xfId="0" applyBorder="1"/>
    <xf numFmtId="0" fontId="1" fillId="0" borderId="0" xfId="0" applyFont="1" applyBorder="1" applyAlignment="1">
      <alignment vertical="center" wrapText="1"/>
    </xf>
  </cellXfs>
  <cellStyles count="5">
    <cellStyle name="20% - Акцент5" xfId="1" builtinId="46"/>
    <cellStyle name="20% - Акцент6" xfId="2" builtinId="50"/>
    <cellStyle name="40% - Акцент6" xfId="3" builtinId="51"/>
    <cellStyle name="Обычный" xfId="0" builtinId="0"/>
    <cellStyle name="Обычный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 филиал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'4'!$C$47:$C$52</c:f>
              <c:numCache>
                <c:formatCode>General</c:formatCode>
                <c:ptCount val="6"/>
                <c:pt idx="0">
                  <c:v>0</c:v>
                </c:pt>
                <c:pt idx="1">
                  <c:v>1000</c:v>
                </c:pt>
                <c:pt idx="2">
                  <c:v>1000</c:v>
                </c:pt>
                <c:pt idx="3">
                  <c:v>3361.17</c:v>
                </c:pt>
                <c:pt idx="4">
                  <c:v>3361.17</c:v>
                </c:pt>
                <c:pt idx="5">
                  <c:v>4000</c:v>
                </c:pt>
              </c:numCache>
            </c:numRef>
          </c:xVal>
          <c:yVal>
            <c:numRef>
              <c:f>'4'!$D$47:$D$52</c:f>
              <c:numCache>
                <c:formatCode>General</c:formatCode>
                <c:ptCount val="6"/>
                <c:pt idx="0">
                  <c:v>9.5</c:v>
                </c:pt>
                <c:pt idx="1">
                  <c:v>9.5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E03-4C02-94FC-79EADA2E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26080"/>
        <c:axId val="246497280"/>
      </c:scatterChart>
      <c:valAx>
        <c:axId val="158326080"/>
        <c:scaling>
          <c:orientation val="minMax"/>
          <c:max val="3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6497280"/>
        <c:crosses val="autoZero"/>
        <c:crossBetween val="midCat"/>
      </c:valAx>
      <c:valAx>
        <c:axId val="246497280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32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2 филиал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'4'!$L$35:$L$38</c:f>
              <c:numCache>
                <c:formatCode>General</c:formatCode>
                <c:ptCount val="4"/>
                <c:pt idx="0">
                  <c:v>0</c:v>
                </c:pt>
                <c:pt idx="1">
                  <c:v>3500</c:v>
                </c:pt>
                <c:pt idx="2">
                  <c:v>3500</c:v>
                </c:pt>
                <c:pt idx="3">
                  <c:v>4000</c:v>
                </c:pt>
              </c:numCache>
            </c:numRef>
          </c:xVal>
          <c:yVal>
            <c:numRef>
              <c:f>'4'!$M$35:$M$38</c:f>
              <c:numCache>
                <c:formatCode>General</c:formatCode>
                <c:ptCount val="4"/>
                <c:pt idx="0">
                  <c:v>14</c:v>
                </c:pt>
                <c:pt idx="1">
                  <c:v>14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884-4F16-9C46-164F37B48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499008"/>
        <c:axId val="246499584"/>
      </c:scatterChart>
      <c:valAx>
        <c:axId val="246499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6499584"/>
        <c:crosses val="autoZero"/>
        <c:crossBetween val="midCat"/>
      </c:valAx>
      <c:valAx>
        <c:axId val="24649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6499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 фирме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'4'!$K$71:$K$78</c:f>
              <c:numCache>
                <c:formatCode>General</c:formatCode>
                <c:ptCount val="8"/>
                <c:pt idx="0">
                  <c:v>0</c:v>
                </c:pt>
                <c:pt idx="1">
                  <c:v>3500</c:v>
                </c:pt>
                <c:pt idx="2">
                  <c:v>3500</c:v>
                </c:pt>
                <c:pt idx="3">
                  <c:v>4500</c:v>
                </c:pt>
                <c:pt idx="4">
                  <c:v>4500</c:v>
                </c:pt>
                <c:pt idx="5">
                  <c:v>7861.17</c:v>
                </c:pt>
                <c:pt idx="6">
                  <c:v>7861.17</c:v>
                </c:pt>
                <c:pt idx="7">
                  <c:v>9000</c:v>
                </c:pt>
              </c:numCache>
            </c:numRef>
          </c:xVal>
          <c:yVal>
            <c:numRef>
              <c:f>'4'!$L$71:$L$78</c:f>
              <c:numCache>
                <c:formatCode>General</c:formatCode>
                <c:ptCount val="8"/>
                <c:pt idx="0">
                  <c:v>14</c:v>
                </c:pt>
                <c:pt idx="1">
                  <c:v>14</c:v>
                </c:pt>
                <c:pt idx="2">
                  <c:v>9.5</c:v>
                </c:pt>
                <c:pt idx="3">
                  <c:v>9.5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11-4CFC-BF4D-BA751C87E68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'4'!$K$83:$K$84</c:f>
              <c:numCache>
                <c:formatCode>General</c:formatCode>
                <c:ptCount val="2"/>
                <c:pt idx="0">
                  <c:v>7861.17</c:v>
                </c:pt>
                <c:pt idx="1">
                  <c:v>7861.17</c:v>
                </c:pt>
              </c:numCache>
            </c:numRef>
          </c:xVal>
          <c:yVal>
            <c:numRef>
              <c:f>'4'!$L$83:$L$84</c:f>
              <c:numCache>
                <c:formatCode>General</c:formatCode>
                <c:ptCount val="2"/>
                <c:pt idx="0">
                  <c:v>14</c:v>
                </c:pt>
                <c:pt idx="1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E11-4CFC-BF4D-BA751C87E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501312"/>
        <c:axId val="246501888"/>
      </c:scatterChart>
      <c:valAx>
        <c:axId val="246501312"/>
        <c:scaling>
          <c:orientation val="minMax"/>
          <c:max val="9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6501888"/>
        <c:crosses val="autoZero"/>
        <c:crossBetween val="midCat"/>
      </c:valAx>
      <c:valAx>
        <c:axId val="246501888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6501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 для нормального режима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SPU!$A$79</c:f>
              <c:strCache>
                <c:ptCount val="1"/>
                <c:pt idx="0">
                  <c:v>Работа V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SPU!$B$78:$C$78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SPU!$B$79:$C$79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5C7-4801-9B16-161EAE18CB86}"/>
            </c:ext>
          </c:extLst>
        </c:ser>
        <c:ser>
          <c:idx val="0"/>
          <c:order val="1"/>
          <c:tx>
            <c:strRef>
              <c:f>SPU!$A$77</c:f>
              <c:strCache>
                <c:ptCount val="1"/>
                <c:pt idx="0">
                  <c:v>Работа Q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SPU!$B$76:$C$76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SPU!$B$77:$C$77</c:f>
              <c:numCache>
                <c:formatCode>General</c:formatCode>
                <c:ptCount val="2"/>
                <c:pt idx="0">
                  <c:v>9</c:v>
                </c:pt>
                <c:pt idx="1">
                  <c:v>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5C7-4801-9B16-161EAE18CB86}"/>
            </c:ext>
          </c:extLst>
        </c:ser>
        <c:ser>
          <c:idx val="2"/>
          <c:order val="2"/>
          <c:tx>
            <c:strRef>
              <c:f>SPU!$A$75</c:f>
              <c:strCache>
                <c:ptCount val="1"/>
                <c:pt idx="0">
                  <c:v>Работа H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SPU!$B$74:$C$74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SPU!$B$75:$C$75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5C7-4801-9B16-161EAE18CB86}"/>
            </c:ext>
          </c:extLst>
        </c:ser>
        <c:ser>
          <c:idx val="3"/>
          <c:order val="3"/>
          <c:tx>
            <c:strRef>
              <c:f>SPU!$A$73</c:f>
              <c:strCache>
                <c:ptCount val="1"/>
                <c:pt idx="0">
                  <c:v>Работа G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SPU!$B$72:$C$72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SPU!$B$73:$C$73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95C7-4801-9B16-161EAE18CB86}"/>
            </c:ext>
          </c:extLst>
        </c:ser>
        <c:ser>
          <c:idx val="4"/>
          <c:order val="4"/>
          <c:tx>
            <c:strRef>
              <c:f>SPU!$A$71</c:f>
              <c:strCache>
                <c:ptCount val="1"/>
                <c:pt idx="0">
                  <c:v>Работа F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SPU!$B$70:$C$70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SPU!$B$71:$C$71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95C7-4801-9B16-161EAE18CB86}"/>
            </c:ext>
          </c:extLst>
        </c:ser>
        <c:ser>
          <c:idx val="5"/>
          <c:order val="5"/>
          <c:tx>
            <c:strRef>
              <c:f>SPU!$A$69</c:f>
              <c:strCache>
                <c:ptCount val="1"/>
                <c:pt idx="0">
                  <c:v>Работа E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SPU!$B$68:$C$68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SPU!$B$69:$C$69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95C7-4801-9B16-161EAE18CB86}"/>
            </c:ext>
          </c:extLst>
        </c:ser>
        <c:ser>
          <c:idx val="6"/>
          <c:order val="6"/>
          <c:tx>
            <c:strRef>
              <c:f>SPU!$A$67</c:f>
              <c:strCache>
                <c:ptCount val="1"/>
                <c:pt idx="0">
                  <c:v>Работа D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SPU!$B$66:$C$66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SPU!$B$67:$C$67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95C7-4801-9B16-161EAE18CB86}"/>
            </c:ext>
          </c:extLst>
        </c:ser>
        <c:ser>
          <c:idx val="7"/>
          <c:order val="7"/>
          <c:tx>
            <c:strRef>
              <c:f>SPU!$A$65</c:f>
              <c:strCache>
                <c:ptCount val="1"/>
                <c:pt idx="0">
                  <c:v>Работа C</c:v>
                </c:pt>
              </c:strCache>
            </c:strRef>
          </c:tx>
          <c:spPr>
            <a:ln w="95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SPU!$B$64:$C$64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SPU!$B$65:$C$65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95C7-4801-9B16-161EAE18CB86}"/>
            </c:ext>
          </c:extLst>
        </c:ser>
        <c:ser>
          <c:idx val="8"/>
          <c:order val="8"/>
          <c:tx>
            <c:strRef>
              <c:f>SPU!$A$63</c:f>
              <c:strCache>
                <c:ptCount val="1"/>
                <c:pt idx="0">
                  <c:v>Работа B</c:v>
                </c:pt>
              </c:strCache>
            </c:strRef>
          </c:tx>
          <c:spPr>
            <a:ln w="95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SPU!$B$62:$C$62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SPU!$B$63:$C$63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95C7-4801-9B16-161EAE18CB86}"/>
            </c:ext>
          </c:extLst>
        </c:ser>
        <c:ser>
          <c:idx val="9"/>
          <c:order val="9"/>
          <c:tx>
            <c:strRef>
              <c:f>SPU!$A$61</c:f>
              <c:strCache>
                <c:ptCount val="1"/>
                <c:pt idx="0">
                  <c:v>Работа A</c:v>
                </c:pt>
              </c:strCache>
            </c:strRef>
          </c:tx>
          <c:spPr>
            <a:ln w="95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SPU!$B$60:$C$60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SPU!$B$61:$C$61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95C7-4801-9B16-161EAE18C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503616"/>
        <c:axId val="246504192"/>
      </c:scatterChart>
      <c:valAx>
        <c:axId val="24650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/>
                  <a:t>Время</a:t>
                </a:r>
              </a:p>
            </c:rich>
          </c:tx>
          <c:layout>
            <c:manualLayout>
              <c:xMode val="edge"/>
              <c:yMode val="edge"/>
              <c:x val="0.4336032534983531"/>
              <c:y val="0.8940751378515391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6504192"/>
        <c:crosses val="autoZero"/>
        <c:crossBetween val="midCat"/>
        <c:majorUnit val="1"/>
      </c:valAx>
      <c:valAx>
        <c:axId val="24650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6503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 для максимально</a:t>
            </a:r>
            <a:r>
              <a:rPr lang="ru-RU" baseline="0"/>
              <a:t> интенсивного режима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SPU!$A$79</c:f>
              <c:strCache>
                <c:ptCount val="1"/>
                <c:pt idx="0">
                  <c:v>Работа V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SPU!$B$101:$C$101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SPU!$B$102:$C$102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EB-460E-BB73-E519DE742575}"/>
            </c:ext>
          </c:extLst>
        </c:ser>
        <c:ser>
          <c:idx val="0"/>
          <c:order val="1"/>
          <c:tx>
            <c:strRef>
              <c:f>SPU!$A$77</c:f>
              <c:strCache>
                <c:ptCount val="1"/>
                <c:pt idx="0">
                  <c:v>Работа Q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SPU!$B$99:$C$99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SPU!$B$77:$C$77</c:f>
              <c:numCache>
                <c:formatCode>General</c:formatCode>
                <c:ptCount val="2"/>
                <c:pt idx="0">
                  <c:v>9</c:v>
                </c:pt>
                <c:pt idx="1">
                  <c:v>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CEB-460E-BB73-E519DE742575}"/>
            </c:ext>
          </c:extLst>
        </c:ser>
        <c:ser>
          <c:idx val="2"/>
          <c:order val="2"/>
          <c:tx>
            <c:strRef>
              <c:f>SPU!$A$75</c:f>
              <c:strCache>
                <c:ptCount val="1"/>
                <c:pt idx="0">
                  <c:v>Работа H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SPU!$B$97:$C$97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SPU!$B$75:$C$75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CEB-460E-BB73-E519DE742575}"/>
            </c:ext>
          </c:extLst>
        </c:ser>
        <c:ser>
          <c:idx val="3"/>
          <c:order val="3"/>
          <c:tx>
            <c:strRef>
              <c:f>SPU!$A$73</c:f>
              <c:strCache>
                <c:ptCount val="1"/>
                <c:pt idx="0">
                  <c:v>Работа G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SPU!$B$95:$C$95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SPU!$B$73:$C$73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CEB-460E-BB73-E519DE742575}"/>
            </c:ext>
          </c:extLst>
        </c:ser>
        <c:ser>
          <c:idx val="4"/>
          <c:order val="4"/>
          <c:tx>
            <c:strRef>
              <c:f>SPU!$A$71</c:f>
              <c:strCache>
                <c:ptCount val="1"/>
                <c:pt idx="0">
                  <c:v>Работа F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SPU!$B$93:$C$93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SPU!$B$71:$C$71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8CEB-460E-BB73-E519DE742575}"/>
            </c:ext>
          </c:extLst>
        </c:ser>
        <c:ser>
          <c:idx val="5"/>
          <c:order val="5"/>
          <c:tx>
            <c:strRef>
              <c:f>SPU!$A$69</c:f>
              <c:strCache>
                <c:ptCount val="1"/>
                <c:pt idx="0">
                  <c:v>Работа E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SPU!$B$91:$C$91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SPU!$B$69:$C$69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8CEB-460E-BB73-E519DE742575}"/>
            </c:ext>
          </c:extLst>
        </c:ser>
        <c:ser>
          <c:idx val="6"/>
          <c:order val="6"/>
          <c:tx>
            <c:strRef>
              <c:f>SPU!$A$67</c:f>
              <c:strCache>
                <c:ptCount val="1"/>
                <c:pt idx="0">
                  <c:v>Работа D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SPU!$B$89:$C$89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SPU!$B$67:$C$67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8CEB-460E-BB73-E519DE742575}"/>
            </c:ext>
          </c:extLst>
        </c:ser>
        <c:ser>
          <c:idx val="7"/>
          <c:order val="7"/>
          <c:tx>
            <c:strRef>
              <c:f>SPU!$A$65</c:f>
              <c:strCache>
                <c:ptCount val="1"/>
                <c:pt idx="0">
                  <c:v>Работа C</c:v>
                </c:pt>
              </c:strCache>
            </c:strRef>
          </c:tx>
          <c:spPr>
            <a:ln w="95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SPU!$B$87:$C$87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SPU!$B$65:$C$65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8CEB-460E-BB73-E519DE742575}"/>
            </c:ext>
          </c:extLst>
        </c:ser>
        <c:ser>
          <c:idx val="8"/>
          <c:order val="8"/>
          <c:tx>
            <c:strRef>
              <c:f>SPU!$A$63</c:f>
              <c:strCache>
                <c:ptCount val="1"/>
                <c:pt idx="0">
                  <c:v>Работа B</c:v>
                </c:pt>
              </c:strCache>
            </c:strRef>
          </c:tx>
          <c:spPr>
            <a:ln w="95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SPU!$B$85:$C$85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SPU!$B$63:$C$63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8CEB-460E-BB73-E519DE742575}"/>
            </c:ext>
          </c:extLst>
        </c:ser>
        <c:ser>
          <c:idx val="9"/>
          <c:order val="9"/>
          <c:tx>
            <c:strRef>
              <c:f>SPU!$A$61</c:f>
              <c:strCache>
                <c:ptCount val="1"/>
                <c:pt idx="0">
                  <c:v>Работа A</c:v>
                </c:pt>
              </c:strCache>
            </c:strRef>
          </c:tx>
          <c:spPr>
            <a:ln w="95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SPU!$B$83:$C$83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SPU!$B$61:$C$61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8CEB-460E-BB73-E519DE742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834304"/>
        <c:axId val="246834880"/>
      </c:scatterChart>
      <c:valAx>
        <c:axId val="24683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/>
                  <a:t>Время</a:t>
                </a:r>
              </a:p>
            </c:rich>
          </c:tx>
          <c:layout>
            <c:manualLayout>
              <c:xMode val="edge"/>
              <c:yMode val="edge"/>
              <c:x val="0.4336032534983531"/>
              <c:y val="0.8940751378515391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6834880"/>
        <c:crosses val="autoZero"/>
        <c:crossBetween val="midCat"/>
        <c:majorUnit val="1"/>
      </c:valAx>
      <c:valAx>
        <c:axId val="24683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683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Зависмо</a:t>
            </a:r>
            <a:r>
              <a:rPr lang="ru-RU" baseline="0"/>
              <a:t>сть затрат на ускорение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SPU!$U$62</c:f>
              <c:strCache>
                <c:ptCount val="1"/>
                <c:pt idx="0">
                  <c:v>Sy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SPU!$T$63:$T$79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SPU!$U$63:$U$79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416-446B-80FD-38613B93C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837184"/>
        <c:axId val="246837760"/>
      </c:scatterChart>
      <c:valAx>
        <c:axId val="24683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ускорение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6837760"/>
        <c:crosses val="autoZero"/>
        <c:crossBetween val="midCat"/>
        <c:majorUnit val="4"/>
      </c:valAx>
      <c:valAx>
        <c:axId val="24683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затраты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6837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 alignWithMargins="0"/>
    <c:pageMargins b="1" l="0.75" r="0.75" t="1" header="0.5" footer="0.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314325</xdr:colOff>
      <xdr:row>15</xdr:row>
      <xdr:rowOff>38100</xdr:rowOff>
    </xdr:from>
    <xdr:ext cx="5664080" cy="1524213"/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0940FE38-4F63-416B-8ADF-EEC50227D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58325" y="2895600"/>
          <a:ext cx="5664080" cy="152421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53</xdr:row>
      <xdr:rowOff>100012</xdr:rowOff>
    </xdr:from>
    <xdr:to>
      <xdr:col>8</xdr:col>
      <xdr:colOff>600075</xdr:colOff>
      <xdr:row>67</xdr:row>
      <xdr:rowOff>176212</xdr:rowOff>
    </xdr:to>
    <xdr:graphicFrame macro="">
      <xdr:nvGraphicFramePr>
        <xdr:cNvPr id="2" name="Диаграмма 1">
          <a:extLst>
            <a:ext uri="{FF2B5EF4-FFF2-40B4-BE49-F238E27FC236}">
              <a16:creationId xmlns="" xmlns:a16="http://schemas.microsoft.com/office/drawing/2014/main" id="{B92D491A-3E6D-41D0-98AD-716E87082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238125</xdr:colOff>
      <xdr:row>46</xdr:row>
      <xdr:rowOff>185737</xdr:rowOff>
    </xdr:from>
    <xdr:to>
      <xdr:col>18</xdr:col>
      <xdr:colOff>542925</xdr:colOff>
      <xdr:row>61</xdr:row>
      <xdr:rowOff>71437</xdr:rowOff>
    </xdr:to>
    <xdr:graphicFrame macro="">
      <xdr:nvGraphicFramePr>
        <xdr:cNvPr id="3" name="Диаграмма 2">
          <a:extLst>
            <a:ext uri="{FF2B5EF4-FFF2-40B4-BE49-F238E27FC236}">
              <a16:creationId xmlns="" xmlns:a16="http://schemas.microsoft.com/office/drawing/2014/main" id="{DFC6DDC4-F646-4284-A486-057B9A6EF1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485775</xdr:colOff>
      <xdr:row>72</xdr:row>
      <xdr:rowOff>71437</xdr:rowOff>
    </xdr:from>
    <xdr:to>
      <xdr:col>9</xdr:col>
      <xdr:colOff>180975</xdr:colOff>
      <xdr:row>86</xdr:row>
      <xdr:rowOff>147637</xdr:rowOff>
    </xdr:to>
    <xdr:graphicFrame macro="">
      <xdr:nvGraphicFramePr>
        <xdr:cNvPr id="4" name="Диаграмма 3">
          <a:extLst>
            <a:ext uri="{FF2B5EF4-FFF2-40B4-BE49-F238E27FC236}">
              <a16:creationId xmlns="" xmlns:a16="http://schemas.microsoft.com/office/drawing/2014/main" id="{422F4B2E-B5D8-49B4-90A8-982E121D4C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428623</xdr:colOff>
      <xdr:row>59</xdr:row>
      <xdr:rowOff>176210</xdr:rowOff>
    </xdr:from>
    <xdr:to>
      <xdr:col>16</xdr:col>
      <xdr:colOff>581024</xdr:colOff>
      <xdr:row>76</xdr:row>
      <xdr:rowOff>57149</xdr:rowOff>
    </xdr:to>
    <xdr:graphicFrame macro="">
      <xdr:nvGraphicFramePr>
        <xdr:cNvPr id="2" name="Диаграмма 1">
          <a:extLst>
            <a:ext uri="{FF2B5EF4-FFF2-40B4-BE49-F238E27FC236}">
              <a16:creationId xmlns="" xmlns:a16="http://schemas.microsoft.com/office/drawing/2014/main" id="{C7A52B25-2A2F-448C-A7F0-7A47BA552C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447675</xdr:colOff>
      <xdr:row>80</xdr:row>
      <xdr:rowOff>57150</xdr:rowOff>
    </xdr:from>
    <xdr:to>
      <xdr:col>16</xdr:col>
      <xdr:colOff>600076</xdr:colOff>
      <xdr:row>96</xdr:row>
      <xdr:rowOff>128589</xdr:rowOff>
    </xdr:to>
    <xdr:graphicFrame macro="">
      <xdr:nvGraphicFramePr>
        <xdr:cNvPr id="3" name="Диаграмма 2">
          <a:extLst>
            <a:ext uri="{FF2B5EF4-FFF2-40B4-BE49-F238E27FC236}">
              <a16:creationId xmlns="" xmlns:a16="http://schemas.microsoft.com/office/drawing/2014/main" id="{488E1D8A-87AB-4513-9D40-62234A0680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466725</xdr:colOff>
      <xdr:row>61</xdr:row>
      <xdr:rowOff>128587</xdr:rowOff>
    </xdr:from>
    <xdr:to>
      <xdr:col>29</xdr:col>
      <xdr:colOff>161925</xdr:colOff>
      <xdr:row>76</xdr:row>
      <xdr:rowOff>14287</xdr:rowOff>
    </xdr:to>
    <xdr:graphicFrame macro="">
      <xdr:nvGraphicFramePr>
        <xdr:cNvPr id="4" name="Диаграмма 3">
          <a:extLst>
            <a:ext uri="{FF2B5EF4-FFF2-40B4-BE49-F238E27FC236}">
              <a16:creationId xmlns="" xmlns:a16="http://schemas.microsoft.com/office/drawing/2014/main" id="{E58B528B-86F3-43C0-A295-2A077046C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5"/>
  <sheetViews>
    <sheetView zoomScale="70" zoomScaleNormal="70" workbookViewId="0">
      <selection activeCell="N22" sqref="N22"/>
    </sheetView>
  </sheetViews>
  <sheetFormatPr defaultRowHeight="15" x14ac:dyDescent="0.25"/>
  <sheetData>
    <row r="1" spans="1:24" x14ac:dyDescent="0.25">
      <c r="A1" t="s">
        <v>34</v>
      </c>
      <c r="P1" t="s">
        <v>35</v>
      </c>
    </row>
    <row r="2" spans="1:24" x14ac:dyDescent="0.25">
      <c r="B2" s="5" t="s">
        <v>33</v>
      </c>
      <c r="C2" s="5" t="s">
        <v>32</v>
      </c>
      <c r="D2" s="5" t="s">
        <v>31</v>
      </c>
      <c r="E2" s="5" t="s">
        <v>30</v>
      </c>
      <c r="F2" s="5" t="s">
        <v>29</v>
      </c>
      <c r="G2" s="5" t="s">
        <v>28</v>
      </c>
      <c r="P2" t="s">
        <v>34</v>
      </c>
    </row>
    <row r="3" spans="1:24" x14ac:dyDescent="0.25">
      <c r="B3">
        <v>0</v>
      </c>
      <c r="C3">
        <v>0</v>
      </c>
      <c r="D3">
        <v>20</v>
      </c>
      <c r="E3">
        <v>60</v>
      </c>
      <c r="F3">
        <v>0</v>
      </c>
      <c r="G3">
        <v>40</v>
      </c>
      <c r="Q3" t="s">
        <v>33</v>
      </c>
      <c r="R3" t="s">
        <v>32</v>
      </c>
      <c r="S3" t="s">
        <v>31</v>
      </c>
      <c r="T3" t="s">
        <v>30</v>
      </c>
      <c r="U3" t="s">
        <v>29</v>
      </c>
      <c r="V3" t="s">
        <v>28</v>
      </c>
    </row>
    <row r="4" spans="1:24" x14ac:dyDescent="0.25">
      <c r="B4">
        <v>1</v>
      </c>
      <c r="C4">
        <v>1</v>
      </c>
      <c r="D4">
        <v>1</v>
      </c>
      <c r="H4">
        <f>SUMPRODUCT(B$3:G$3,B4:G4)</f>
        <v>20</v>
      </c>
      <c r="I4">
        <v>20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4" x14ac:dyDescent="0.25">
      <c r="B5">
        <v>-1.01</v>
      </c>
      <c r="E5">
        <v>1</v>
      </c>
      <c r="H5">
        <f>SUMPRODUCT(B$3:G$3,B5:G5)</f>
        <v>60</v>
      </c>
      <c r="I5">
        <v>60</v>
      </c>
      <c r="Q5">
        <v>1</v>
      </c>
      <c r="R5">
        <v>1</v>
      </c>
      <c r="S5">
        <v>1</v>
      </c>
      <c r="W5">
        <f>SUMPRODUCT(Q$4:V$4,Q5:V5)</f>
        <v>0</v>
      </c>
      <c r="X5">
        <v>20</v>
      </c>
    </row>
    <row r="6" spans="1:24" x14ac:dyDescent="0.25">
      <c r="B6" s="5"/>
      <c r="C6" s="5">
        <v>-1.0249999999999999</v>
      </c>
      <c r="D6" s="5"/>
      <c r="E6" s="5">
        <v>-1.01</v>
      </c>
      <c r="F6" s="5"/>
      <c r="G6" s="5">
        <v>1</v>
      </c>
      <c r="H6">
        <f>SUMPRODUCT(B$3:G$3,B6:G6)</f>
        <v>-20.6</v>
      </c>
      <c r="I6">
        <v>-20.6</v>
      </c>
      <c r="Q6">
        <v>-1.01</v>
      </c>
      <c r="T6">
        <v>1</v>
      </c>
      <c r="W6">
        <f>SUMPRODUCT(Q$4:V$4,Q6:V6)</f>
        <v>0</v>
      </c>
      <c r="X6">
        <v>60</v>
      </c>
    </row>
    <row r="7" spans="1:24" x14ac:dyDescent="0.25">
      <c r="B7">
        <v>0.01</v>
      </c>
      <c r="C7">
        <v>2.5000000000000001E-2</v>
      </c>
      <c r="D7">
        <v>0.04</v>
      </c>
      <c r="E7">
        <v>0.01</v>
      </c>
      <c r="G7">
        <v>0.01</v>
      </c>
      <c r="H7" s="27">
        <f>SUMPRODUCT(B$3:G$3,B7:G7)</f>
        <v>1.7999999999999998</v>
      </c>
      <c r="R7">
        <v>-1.0249999999999999</v>
      </c>
      <c r="T7">
        <v>-1.01</v>
      </c>
      <c r="V7">
        <v>1</v>
      </c>
      <c r="W7">
        <f>SUMPRODUCT(Q$4:V$4,Q7:V7)</f>
        <v>0</v>
      </c>
      <c r="X7">
        <v>-20.6</v>
      </c>
    </row>
    <row r="8" spans="1:24" x14ac:dyDescent="0.25">
      <c r="Q8">
        <v>0.01</v>
      </c>
      <c r="R8">
        <v>2.5000000000000001E-2</v>
      </c>
      <c r="S8">
        <v>0.04</v>
      </c>
      <c r="T8">
        <v>0.01</v>
      </c>
      <c r="V8">
        <v>0.01</v>
      </c>
      <c r="W8">
        <f>SUMPRODUCT(Q$4:V$4,Q8:V8)</f>
        <v>0</v>
      </c>
    </row>
    <row r="18" spans="2:20" x14ac:dyDescent="0.25">
      <c r="B18" t="s">
        <v>33</v>
      </c>
      <c r="C18" t="s">
        <v>32</v>
      </c>
      <c r="D18" t="s">
        <v>31</v>
      </c>
      <c r="E18" t="s">
        <v>30</v>
      </c>
      <c r="F18" t="s">
        <v>29</v>
      </c>
      <c r="G18" t="s">
        <v>28</v>
      </c>
    </row>
    <row r="19" spans="2:20" x14ac:dyDescent="0.25">
      <c r="B19">
        <v>0</v>
      </c>
      <c r="C19">
        <v>20</v>
      </c>
      <c r="D19">
        <v>0</v>
      </c>
      <c r="E19">
        <v>9.9009900990097321E-2</v>
      </c>
      <c r="F19">
        <v>59.900990099009903</v>
      </c>
      <c r="G19">
        <v>0</v>
      </c>
    </row>
    <row r="20" spans="2:20" x14ac:dyDescent="0.25">
      <c r="B20">
        <v>1</v>
      </c>
      <c r="C20">
        <v>1</v>
      </c>
      <c r="D20">
        <v>1</v>
      </c>
      <c r="H20">
        <v>20</v>
      </c>
      <c r="I20">
        <v>20</v>
      </c>
    </row>
    <row r="21" spans="2:20" x14ac:dyDescent="0.25">
      <c r="B21">
        <v>-1.01</v>
      </c>
      <c r="E21">
        <v>1</v>
      </c>
      <c r="F21">
        <v>1</v>
      </c>
      <c r="H21">
        <v>60</v>
      </c>
      <c r="I21">
        <v>60</v>
      </c>
    </row>
    <row r="22" spans="2:20" x14ac:dyDescent="0.25">
      <c r="C22">
        <v>-1.0249999999999999</v>
      </c>
      <c r="E22">
        <v>-1.01</v>
      </c>
      <c r="G22">
        <v>1</v>
      </c>
      <c r="H22">
        <v>-20.599999999999998</v>
      </c>
      <c r="I22">
        <v>-20.6</v>
      </c>
    </row>
    <row r="23" spans="2:20" x14ac:dyDescent="0.25">
      <c r="B23">
        <v>0.01</v>
      </c>
      <c r="C23">
        <v>2.5000000000000001E-2</v>
      </c>
      <c r="D23">
        <v>0.04</v>
      </c>
      <c r="E23">
        <v>0.01</v>
      </c>
      <c r="F23">
        <v>2.5000000000000001E-2</v>
      </c>
      <c r="G23">
        <v>0.01</v>
      </c>
      <c r="H23">
        <v>1.9985148514851487</v>
      </c>
    </row>
    <row r="27" spans="2:20" ht="15.75" thickBot="1" x14ac:dyDescent="0.3"/>
    <row r="28" spans="2:20" x14ac:dyDescent="0.25">
      <c r="B28" s="11"/>
      <c r="C28" s="10"/>
      <c r="D28" s="18" t="s">
        <v>16</v>
      </c>
      <c r="E28" s="10" t="s">
        <v>22</v>
      </c>
      <c r="F28" s="10" t="s">
        <v>25</v>
      </c>
      <c r="G28" s="10" t="s">
        <v>20</v>
      </c>
      <c r="H28" s="10" t="s">
        <v>27</v>
      </c>
      <c r="I28" s="17" t="s">
        <v>7</v>
      </c>
      <c r="L28" s="11"/>
      <c r="M28" s="10"/>
      <c r="N28" s="18" t="s">
        <v>16</v>
      </c>
      <c r="O28" s="10" t="s">
        <v>22</v>
      </c>
      <c r="P28" s="10" t="s">
        <v>25</v>
      </c>
      <c r="Q28" s="10" t="s">
        <v>20</v>
      </c>
      <c r="R28" s="10" t="s">
        <v>26</v>
      </c>
      <c r="S28" s="10" t="s">
        <v>27</v>
      </c>
      <c r="T28" s="17" t="s">
        <v>7</v>
      </c>
    </row>
    <row r="29" spans="2:20" x14ac:dyDescent="0.25">
      <c r="B29" s="6"/>
      <c r="C29" s="5"/>
      <c r="D29" s="25" t="s">
        <v>10</v>
      </c>
      <c r="E29" s="5" t="s">
        <v>21</v>
      </c>
      <c r="F29" s="5" t="s">
        <v>24</v>
      </c>
      <c r="G29" s="5" t="s">
        <v>19</v>
      </c>
      <c r="H29" s="5" t="s">
        <v>8</v>
      </c>
      <c r="I29" s="32">
        <v>1</v>
      </c>
      <c r="L29" s="6"/>
      <c r="M29" s="5"/>
      <c r="N29" s="25" t="str">
        <f>"-X11"</f>
        <v>-X11</v>
      </c>
      <c r="O29" s="5" t="str">
        <f>"-X12"</f>
        <v>-X12</v>
      </c>
      <c r="P29" s="5" t="str">
        <f>"-X13"</f>
        <v>-X13</v>
      </c>
      <c r="Q29" s="5" t="str">
        <f>"-X21"</f>
        <v>-X21</v>
      </c>
      <c r="R29" s="5" t="str">
        <f>"-X22"</f>
        <v>-X22</v>
      </c>
      <c r="S29" s="5" t="str">
        <f>"-X31"</f>
        <v>-X31</v>
      </c>
      <c r="T29" s="32">
        <v>1</v>
      </c>
    </row>
    <row r="30" spans="2:20" x14ac:dyDescent="0.25">
      <c r="B30" s="8" t="s">
        <v>11</v>
      </c>
      <c r="C30" t="s">
        <v>23</v>
      </c>
      <c r="D30" s="30">
        <v>1</v>
      </c>
      <c r="E30" s="20">
        <v>0</v>
      </c>
      <c r="F30" s="20">
        <v>0</v>
      </c>
      <c r="G30" s="20">
        <v>1</v>
      </c>
      <c r="H30" s="27">
        <v>1</v>
      </c>
      <c r="I30" s="20">
        <v>20</v>
      </c>
      <c r="L30" s="8" t="s">
        <v>11</v>
      </c>
      <c r="M30" t="s">
        <v>23</v>
      </c>
      <c r="N30" s="30">
        <v>1</v>
      </c>
      <c r="O30" s="20">
        <v>0</v>
      </c>
      <c r="P30" s="20">
        <v>0</v>
      </c>
      <c r="Q30" s="20">
        <v>1</v>
      </c>
      <c r="R30" s="20">
        <v>0</v>
      </c>
      <c r="S30" s="27">
        <v>1</v>
      </c>
      <c r="T30" s="40">
        <v>20</v>
      </c>
    </row>
    <row r="31" spans="2:20" x14ac:dyDescent="0.25">
      <c r="B31" s="8" t="s">
        <v>12</v>
      </c>
      <c r="C31" t="s">
        <v>23</v>
      </c>
      <c r="D31" s="16">
        <v>-1.01</v>
      </c>
      <c r="E31">
        <v>1</v>
      </c>
      <c r="F31">
        <v>0</v>
      </c>
      <c r="G31">
        <v>0</v>
      </c>
      <c r="H31" s="20">
        <v>0</v>
      </c>
      <c r="I31">
        <v>60</v>
      </c>
      <c r="L31" s="8" t="s">
        <v>12</v>
      </c>
      <c r="M31" t="s">
        <v>23</v>
      </c>
      <c r="N31" s="16">
        <v>-1.01</v>
      </c>
      <c r="O31">
        <v>1</v>
      </c>
      <c r="P31">
        <v>0</v>
      </c>
      <c r="Q31">
        <v>0</v>
      </c>
      <c r="R31">
        <v>1</v>
      </c>
      <c r="S31" s="20">
        <v>0</v>
      </c>
      <c r="T31" s="39">
        <v>60</v>
      </c>
    </row>
    <row r="32" spans="2:20" x14ac:dyDescent="0.25">
      <c r="B32" s="6" t="s">
        <v>14</v>
      </c>
      <c r="C32" s="5" t="s">
        <v>23</v>
      </c>
      <c r="D32" s="25">
        <v>0</v>
      </c>
      <c r="E32" s="5">
        <v>-1.01</v>
      </c>
      <c r="F32" s="5">
        <v>1</v>
      </c>
      <c r="G32" s="5">
        <v>-1.0249999999999999</v>
      </c>
      <c r="H32" s="29">
        <v>0</v>
      </c>
      <c r="I32">
        <v>-20.6</v>
      </c>
      <c r="L32" s="6" t="s">
        <v>14</v>
      </c>
      <c r="M32" s="5" t="s">
        <v>23</v>
      </c>
      <c r="N32" s="25">
        <v>0</v>
      </c>
      <c r="O32" s="5">
        <v>-1.01</v>
      </c>
      <c r="P32" s="5">
        <v>1</v>
      </c>
      <c r="Q32" s="5">
        <v>-1.0249999999999999</v>
      </c>
      <c r="R32">
        <v>0</v>
      </c>
      <c r="S32" s="29">
        <v>0</v>
      </c>
      <c r="T32" s="38">
        <v>-20.6</v>
      </c>
    </row>
    <row r="33" spans="2:20" ht="15.75" thickBot="1" x14ac:dyDescent="0.3">
      <c r="B33" s="3">
        <v>1</v>
      </c>
      <c r="C33" s="2" t="s">
        <v>0</v>
      </c>
      <c r="D33" s="33">
        <v>-0.01</v>
      </c>
      <c r="E33" s="12">
        <v>-0.01</v>
      </c>
      <c r="F33" s="12">
        <v>-0.01</v>
      </c>
      <c r="G33" s="12">
        <v>-2.5000000000000001E-2</v>
      </c>
      <c r="H33" s="19">
        <v>-0.04</v>
      </c>
      <c r="I33" s="36">
        <v>0</v>
      </c>
      <c r="L33" s="3">
        <v>1</v>
      </c>
      <c r="M33" s="2" t="s">
        <v>0</v>
      </c>
      <c r="N33" s="33">
        <v>-0.01</v>
      </c>
      <c r="O33" s="12">
        <v>-0.01</v>
      </c>
      <c r="P33" s="12">
        <v>-0.01</v>
      </c>
      <c r="Q33" s="12">
        <v>-2.5000000000000001E-2</v>
      </c>
      <c r="R33" s="37">
        <v>-2.5000000000000001E-2</v>
      </c>
      <c r="S33" s="19">
        <v>-0.04</v>
      </c>
      <c r="T33" s="36">
        <v>0</v>
      </c>
    </row>
    <row r="34" spans="2:20" ht="15.75" thickBot="1" x14ac:dyDescent="0.3"/>
    <row r="35" spans="2:20" x14ac:dyDescent="0.25">
      <c r="B35" s="11"/>
      <c r="C35" s="10"/>
      <c r="D35" s="18" t="s">
        <v>16</v>
      </c>
      <c r="E35" s="10" t="s">
        <v>22</v>
      </c>
      <c r="F35" s="10" t="s">
        <v>25</v>
      </c>
      <c r="G35" s="10" t="s">
        <v>20</v>
      </c>
      <c r="H35" s="10" t="s">
        <v>11</v>
      </c>
      <c r="I35" s="17" t="s">
        <v>7</v>
      </c>
      <c r="L35" s="11"/>
      <c r="M35" s="10"/>
      <c r="N35" s="18" t="s">
        <v>16</v>
      </c>
      <c r="O35" s="10" t="s">
        <v>22</v>
      </c>
      <c r="P35" s="10" t="s">
        <v>25</v>
      </c>
      <c r="Q35" s="10" t="s">
        <v>20</v>
      </c>
      <c r="R35" s="10" t="s">
        <v>26</v>
      </c>
      <c r="S35" s="10" t="s">
        <v>11</v>
      </c>
      <c r="T35" s="17" t="s">
        <v>7</v>
      </c>
    </row>
    <row r="36" spans="2:20" ht="15.75" thickBot="1" x14ac:dyDescent="0.3">
      <c r="B36" s="6"/>
      <c r="C36" s="5"/>
      <c r="D36" s="25" t="s">
        <v>10</v>
      </c>
      <c r="E36" s="5" t="s">
        <v>21</v>
      </c>
      <c r="F36" s="5" t="s">
        <v>24</v>
      </c>
      <c r="G36" s="5" t="s">
        <v>19</v>
      </c>
      <c r="H36" s="5"/>
      <c r="I36" s="32">
        <v>1</v>
      </c>
      <c r="L36" s="6"/>
      <c r="M36" s="5"/>
      <c r="N36" s="16" t="str">
        <f>"-X11"</f>
        <v>-X11</v>
      </c>
      <c r="O36" t="str">
        <f>"-X12"</f>
        <v>-X12</v>
      </c>
      <c r="P36" t="str">
        <f>"-X13"</f>
        <v>-X13</v>
      </c>
      <c r="Q36" t="str">
        <f>"-X21"</f>
        <v>-X21</v>
      </c>
      <c r="R36" t="str">
        <f>"-X22"</f>
        <v>-X22</v>
      </c>
      <c r="T36" s="14">
        <v>1</v>
      </c>
    </row>
    <row r="37" spans="2:20" x14ac:dyDescent="0.25">
      <c r="B37" s="8" t="s">
        <v>13</v>
      </c>
      <c r="C37" t="s">
        <v>18</v>
      </c>
      <c r="D37" s="16">
        <v>1</v>
      </c>
      <c r="E37">
        <v>0</v>
      </c>
      <c r="F37" s="20">
        <v>0</v>
      </c>
      <c r="G37">
        <v>1</v>
      </c>
      <c r="H37">
        <v>1</v>
      </c>
      <c r="I37">
        <v>20</v>
      </c>
      <c r="L37" s="8" t="s">
        <v>13</v>
      </c>
      <c r="M37" t="s">
        <v>18</v>
      </c>
      <c r="N37" s="11">
        <v>1</v>
      </c>
      <c r="O37" s="10">
        <v>0</v>
      </c>
      <c r="P37" s="10">
        <v>0</v>
      </c>
      <c r="Q37" s="10">
        <v>1</v>
      </c>
      <c r="R37" s="22">
        <v>0</v>
      </c>
      <c r="S37" s="10">
        <v>1</v>
      </c>
      <c r="T37" s="9">
        <v>20</v>
      </c>
    </row>
    <row r="38" spans="2:20" x14ac:dyDescent="0.25">
      <c r="B38" s="8" t="s">
        <v>12</v>
      </c>
      <c r="C38" t="s">
        <v>23</v>
      </c>
      <c r="D38" s="16">
        <f t="shared" ref="D38:G40" si="0">D31-(D$30*$H31)/$H$30</f>
        <v>-1.01</v>
      </c>
      <c r="E38">
        <f t="shared" si="0"/>
        <v>1</v>
      </c>
      <c r="F38" s="20">
        <f t="shared" si="0"/>
        <v>0</v>
      </c>
      <c r="G38">
        <f t="shared" si="0"/>
        <v>0</v>
      </c>
      <c r="H38">
        <v>0</v>
      </c>
      <c r="I38">
        <f>I31-(I$30*$H31)/$H$30</f>
        <v>60</v>
      </c>
      <c r="L38" s="8" t="s">
        <v>12</v>
      </c>
      <c r="M38" t="s">
        <v>23</v>
      </c>
      <c r="N38" s="28">
        <f t="shared" ref="N38:R40" si="1">N31-(N$30*$S31)/$S$30</f>
        <v>-1.01</v>
      </c>
      <c r="O38" s="20">
        <f t="shared" si="1"/>
        <v>1</v>
      </c>
      <c r="P38" s="20">
        <f t="shared" si="1"/>
        <v>0</v>
      </c>
      <c r="Q38" s="20">
        <f t="shared" si="1"/>
        <v>0</v>
      </c>
      <c r="R38" s="27">
        <f t="shared" si="1"/>
        <v>1</v>
      </c>
      <c r="S38" s="20">
        <v>0</v>
      </c>
      <c r="T38" s="26">
        <f>T31-(T$30*$S31)/$S$30</f>
        <v>60</v>
      </c>
    </row>
    <row r="39" spans="2:20" x14ac:dyDescent="0.25">
      <c r="B39" s="6" t="s">
        <v>14</v>
      </c>
      <c r="C39" s="5" t="s">
        <v>23</v>
      </c>
      <c r="D39" s="35">
        <f t="shared" si="0"/>
        <v>0</v>
      </c>
      <c r="E39" s="29">
        <f t="shared" si="0"/>
        <v>-1.01</v>
      </c>
      <c r="F39" s="34">
        <f t="shared" si="0"/>
        <v>1</v>
      </c>
      <c r="G39" s="29">
        <f t="shared" si="0"/>
        <v>-1.0249999999999999</v>
      </c>
      <c r="H39" s="29">
        <v>0</v>
      </c>
      <c r="I39" s="29">
        <f>I32-(I$30*$H32)/$H$30</f>
        <v>-20.6</v>
      </c>
      <c r="L39" s="6" t="s">
        <v>14</v>
      </c>
      <c r="M39" s="5" t="s">
        <v>23</v>
      </c>
      <c r="N39" s="8">
        <f t="shared" si="1"/>
        <v>0</v>
      </c>
      <c r="O39">
        <f t="shared" si="1"/>
        <v>-1.01</v>
      </c>
      <c r="P39">
        <f t="shared" si="1"/>
        <v>1</v>
      </c>
      <c r="Q39">
        <f t="shared" si="1"/>
        <v>-1.0249999999999999</v>
      </c>
      <c r="R39" s="20">
        <f t="shared" si="1"/>
        <v>0</v>
      </c>
      <c r="S39">
        <v>0</v>
      </c>
      <c r="T39" s="7">
        <f>T32-(T$30*$S32)/$S$30</f>
        <v>-20.6</v>
      </c>
    </row>
    <row r="40" spans="2:20" ht="15.75" thickBot="1" x14ac:dyDescent="0.3">
      <c r="B40" s="3">
        <v>1</v>
      </c>
      <c r="C40" s="2" t="s">
        <v>0</v>
      </c>
      <c r="D40" s="33">
        <f t="shared" si="0"/>
        <v>0.03</v>
      </c>
      <c r="E40" s="12">
        <f t="shared" si="0"/>
        <v>-0.01</v>
      </c>
      <c r="F40" s="19">
        <f t="shared" si="0"/>
        <v>-0.01</v>
      </c>
      <c r="G40" s="12">
        <f t="shared" si="0"/>
        <v>1.4999999999999999E-2</v>
      </c>
      <c r="H40" s="12">
        <f>-H33/H30</f>
        <v>0.04</v>
      </c>
      <c r="I40" s="12">
        <f>I33-(I$30*$H33)/$H$30</f>
        <v>0.8</v>
      </c>
      <c r="L40" s="3">
        <v>1</v>
      </c>
      <c r="M40" s="2" t="s">
        <v>0</v>
      </c>
      <c r="N40" s="13">
        <f t="shared" si="1"/>
        <v>0.03</v>
      </c>
      <c r="O40" s="12">
        <f t="shared" si="1"/>
        <v>-0.01</v>
      </c>
      <c r="P40" s="12">
        <f t="shared" si="1"/>
        <v>-0.01</v>
      </c>
      <c r="Q40" s="12">
        <f t="shared" si="1"/>
        <v>1.4999999999999999E-2</v>
      </c>
      <c r="R40" s="19">
        <f t="shared" si="1"/>
        <v>-2.5000000000000001E-2</v>
      </c>
      <c r="S40" s="12">
        <f>-S33</f>
        <v>0.04</v>
      </c>
      <c r="T40" s="1">
        <f>T33-(T$30*$S33)/$S$30</f>
        <v>0.8</v>
      </c>
    </row>
    <row r="41" spans="2:20" ht="15.75" thickBot="1" x14ac:dyDescent="0.3"/>
    <row r="42" spans="2:20" x14ac:dyDescent="0.25">
      <c r="B42" s="11"/>
      <c r="C42" s="10"/>
      <c r="D42" s="18" t="s">
        <v>16</v>
      </c>
      <c r="E42" s="10" t="s">
        <v>22</v>
      </c>
      <c r="F42" s="10" t="s">
        <v>14</v>
      </c>
      <c r="G42" s="10" t="s">
        <v>20</v>
      </c>
      <c r="H42" s="10" t="s">
        <v>11</v>
      </c>
      <c r="I42" s="17" t="s">
        <v>7</v>
      </c>
      <c r="L42" s="11"/>
      <c r="M42" s="10"/>
      <c r="N42" s="18" t="s">
        <v>16</v>
      </c>
      <c r="O42" s="10" t="s">
        <v>22</v>
      </c>
      <c r="P42" s="10" t="s">
        <v>25</v>
      </c>
      <c r="Q42" s="10" t="s">
        <v>20</v>
      </c>
      <c r="R42" s="10" t="s">
        <v>12</v>
      </c>
      <c r="S42" s="10" t="s">
        <v>11</v>
      </c>
      <c r="T42" s="17" t="s">
        <v>7</v>
      </c>
    </row>
    <row r="43" spans="2:20" ht="15.75" thickBot="1" x14ac:dyDescent="0.3">
      <c r="B43" s="6"/>
      <c r="C43" s="5"/>
      <c r="D43" s="16" t="s">
        <v>10</v>
      </c>
      <c r="E43" s="5" t="s">
        <v>21</v>
      </c>
      <c r="G43" t="s">
        <v>19</v>
      </c>
      <c r="I43" s="14">
        <v>1</v>
      </c>
      <c r="L43" s="6"/>
      <c r="M43" s="5"/>
      <c r="N43" s="16" t="s">
        <v>10</v>
      </c>
      <c r="O43" t="s">
        <v>21</v>
      </c>
      <c r="P43" t="s">
        <v>24</v>
      </c>
      <c r="Q43" t="s">
        <v>19</v>
      </c>
      <c r="T43" s="14">
        <v>1</v>
      </c>
    </row>
    <row r="44" spans="2:20" x14ac:dyDescent="0.25">
      <c r="B44" s="8" t="s">
        <v>13</v>
      </c>
      <c r="C44" t="s">
        <v>18</v>
      </c>
      <c r="D44" s="16">
        <f>D37-(D$39*$F37)/$F$39</f>
        <v>1</v>
      </c>
      <c r="E44" s="20">
        <f>E37-(E$39*$F37)/$F$39</f>
        <v>0</v>
      </c>
      <c r="F44">
        <v>0</v>
      </c>
      <c r="G44">
        <f t="shared" ref="G44:I45" si="2">G37-(G$39*$F37)/$F$39</f>
        <v>1</v>
      </c>
      <c r="H44">
        <f t="shared" si="2"/>
        <v>1</v>
      </c>
      <c r="I44" s="16">
        <f t="shared" si="2"/>
        <v>20</v>
      </c>
      <c r="L44" s="8" t="s">
        <v>13</v>
      </c>
      <c r="M44" t="s">
        <v>18</v>
      </c>
      <c r="N44" s="11">
        <f>N37-(N$38*$R37)/$R$38</f>
        <v>1</v>
      </c>
      <c r="O44" s="10">
        <f>O37-(O$38*$R37)/$R$38</f>
        <v>0</v>
      </c>
      <c r="P44" s="22">
        <f>P37-(P$38*$R37)/$R$38</f>
        <v>0</v>
      </c>
      <c r="Q44" s="10">
        <f>Q37-(Q$38*$R37)/$R$38</f>
        <v>1</v>
      </c>
      <c r="R44" s="10">
        <v>0</v>
      </c>
      <c r="S44" s="10">
        <f>S37-(S$38*$R37)/$R$38</f>
        <v>1</v>
      </c>
      <c r="T44" s="9">
        <f>T37-(T$38*$R37)/$R$38</f>
        <v>20</v>
      </c>
    </row>
    <row r="45" spans="2:20" x14ac:dyDescent="0.25">
      <c r="B45" s="8" t="s">
        <v>12</v>
      </c>
      <c r="C45" t="s">
        <v>23</v>
      </c>
      <c r="D45" s="30">
        <f>D38-(D$39*$F38)/$F$39</f>
        <v>-1.01</v>
      </c>
      <c r="E45" s="27">
        <f>E38-(E$39*$F38)/$F$39</f>
        <v>1</v>
      </c>
      <c r="F45" s="20">
        <v>0</v>
      </c>
      <c r="G45" s="20">
        <f t="shared" si="2"/>
        <v>0</v>
      </c>
      <c r="H45" s="20">
        <f t="shared" si="2"/>
        <v>0</v>
      </c>
      <c r="I45" s="30">
        <f t="shared" si="2"/>
        <v>60</v>
      </c>
      <c r="L45" s="8" t="s">
        <v>4</v>
      </c>
      <c r="M45" t="s">
        <v>3</v>
      </c>
      <c r="N45" s="8">
        <v>-1.01</v>
      </c>
      <c r="O45">
        <v>1</v>
      </c>
      <c r="P45" s="20">
        <v>0</v>
      </c>
      <c r="Q45">
        <v>0</v>
      </c>
      <c r="R45">
        <v>1</v>
      </c>
      <c r="S45">
        <v>0</v>
      </c>
      <c r="T45" s="7">
        <v>60</v>
      </c>
    </row>
    <row r="46" spans="2:20" x14ac:dyDescent="0.25">
      <c r="B46" s="6" t="s">
        <v>15</v>
      </c>
      <c r="C46" s="5" t="s">
        <v>17</v>
      </c>
      <c r="D46" s="25">
        <v>0</v>
      </c>
      <c r="E46" s="29">
        <v>-1.01</v>
      </c>
      <c r="F46" s="5">
        <v>1</v>
      </c>
      <c r="G46" s="5">
        <v>-1.0249999999999999</v>
      </c>
      <c r="H46" s="5">
        <v>0</v>
      </c>
      <c r="I46" s="16">
        <v>-20.6</v>
      </c>
      <c r="L46" s="6" t="s">
        <v>14</v>
      </c>
      <c r="M46" s="5" t="s">
        <v>23</v>
      </c>
      <c r="N46" s="28">
        <f t="shared" ref="N46:Q47" si="3">N39-(N$38*$R39)/$R$38</f>
        <v>0</v>
      </c>
      <c r="O46" s="20">
        <f t="shared" si="3"/>
        <v>-1.01</v>
      </c>
      <c r="P46" s="27">
        <f t="shared" si="3"/>
        <v>1</v>
      </c>
      <c r="Q46" s="20">
        <f t="shared" si="3"/>
        <v>-1.0249999999999999</v>
      </c>
      <c r="R46" s="20">
        <v>0</v>
      </c>
      <c r="S46" s="20">
        <f>S39-(S$38*$R39)/$R$38</f>
        <v>0</v>
      </c>
      <c r="T46" s="26">
        <f>T39-(T$38*$R39)/$R$38</f>
        <v>-20.6</v>
      </c>
    </row>
    <row r="47" spans="2:20" ht="15.75" thickBot="1" x14ac:dyDescent="0.3">
      <c r="B47" s="3">
        <v>1</v>
      </c>
      <c r="C47" s="2" t="s">
        <v>0</v>
      </c>
      <c r="D47" s="12">
        <f>D40-(D$39*$F40)/$F$39</f>
        <v>0.03</v>
      </c>
      <c r="E47" s="19">
        <f>E40-(E$39*$F40)/$F$39</f>
        <v>-2.01E-2</v>
      </c>
      <c r="F47" s="12">
        <f>-F40</f>
        <v>0.01</v>
      </c>
      <c r="G47" s="12">
        <f>G40-(G$39*$F40)/$F$39</f>
        <v>4.7500000000000007E-3</v>
      </c>
      <c r="H47" s="12">
        <f>H40-(H$39*$F40)/$F$39</f>
        <v>0.04</v>
      </c>
      <c r="I47" s="12">
        <f>I40-(I$39*$F40)/$F$39</f>
        <v>0.59400000000000008</v>
      </c>
      <c r="L47" s="3">
        <v>1</v>
      </c>
      <c r="M47" s="2" t="s">
        <v>0</v>
      </c>
      <c r="N47" s="13">
        <f t="shared" si="3"/>
        <v>4.7499999999999973E-3</v>
      </c>
      <c r="O47" s="12">
        <f t="shared" si="3"/>
        <v>1.5000000000000001E-2</v>
      </c>
      <c r="P47" s="19">
        <f t="shared" si="3"/>
        <v>-0.01</v>
      </c>
      <c r="Q47" s="12">
        <f t="shared" si="3"/>
        <v>1.4999999999999999E-2</v>
      </c>
      <c r="R47" s="12">
        <f>-R40</f>
        <v>2.5000000000000001E-2</v>
      </c>
      <c r="S47" s="12">
        <f>S40-(S$38*$R40)/$R$38</f>
        <v>0.04</v>
      </c>
      <c r="T47" s="1">
        <f>T40-(T$38*$R40)/$R$38</f>
        <v>2.2999999999999998</v>
      </c>
    </row>
    <row r="48" spans="2:20" ht="15.75" thickBot="1" x14ac:dyDescent="0.3"/>
    <row r="49" spans="2:20" x14ac:dyDescent="0.25">
      <c r="B49" s="11"/>
      <c r="C49" s="10"/>
      <c r="D49" s="18" t="s">
        <v>16</v>
      </c>
      <c r="E49" s="10" t="s">
        <v>12</v>
      </c>
      <c r="F49" s="10" t="s">
        <v>14</v>
      </c>
      <c r="G49" s="10" t="s">
        <v>20</v>
      </c>
      <c r="H49" s="10" t="s">
        <v>11</v>
      </c>
      <c r="I49" s="17" t="s">
        <v>7</v>
      </c>
      <c r="L49" s="11"/>
      <c r="M49" s="10"/>
      <c r="N49" s="18" t="s">
        <v>16</v>
      </c>
      <c r="O49" s="10" t="s">
        <v>22</v>
      </c>
      <c r="P49" s="10" t="s">
        <v>14</v>
      </c>
      <c r="Q49" s="10" t="s">
        <v>20</v>
      </c>
      <c r="R49" s="10" t="s">
        <v>12</v>
      </c>
      <c r="S49" s="10" t="s">
        <v>11</v>
      </c>
      <c r="T49" s="17" t="s">
        <v>7</v>
      </c>
    </row>
    <row r="50" spans="2:20" ht="15.75" thickBot="1" x14ac:dyDescent="0.3">
      <c r="B50" s="6"/>
      <c r="C50" s="5"/>
      <c r="D50" s="16" t="s">
        <v>10</v>
      </c>
      <c r="E50" s="5"/>
      <c r="G50" t="s">
        <v>19</v>
      </c>
      <c r="I50" s="32">
        <v>1</v>
      </c>
      <c r="L50" s="6"/>
      <c r="M50" s="5"/>
      <c r="N50" s="16" t="s">
        <v>10</v>
      </c>
      <c r="O50" t="s">
        <v>21</v>
      </c>
      <c r="Q50" t="s">
        <v>19</v>
      </c>
      <c r="T50" s="14">
        <v>1</v>
      </c>
    </row>
    <row r="51" spans="2:20" x14ac:dyDescent="0.25">
      <c r="B51" s="8" t="s">
        <v>13</v>
      </c>
      <c r="C51" t="s">
        <v>18</v>
      </c>
      <c r="D51" s="31">
        <f>D44-(D$45*$E44)/$E$45</f>
        <v>1</v>
      </c>
      <c r="E51" s="20">
        <v>0</v>
      </c>
      <c r="F51">
        <f>F44-(F$45*$E44)/$E$45</f>
        <v>0</v>
      </c>
      <c r="G51">
        <f>G44-(G$45*$E44)/$E$45</f>
        <v>1</v>
      </c>
      <c r="H51">
        <f>H44-(H$45*$E44)/$E$45</f>
        <v>1</v>
      </c>
      <c r="I51" s="31">
        <f>I44-(I$45*$E44)/$E$45</f>
        <v>20</v>
      </c>
      <c r="J51" s="16"/>
      <c r="L51" s="8" t="s">
        <v>13</v>
      </c>
      <c r="M51" t="s">
        <v>18</v>
      </c>
      <c r="N51" s="11">
        <f>N44-(N$46*$P44)/$P$46</f>
        <v>1</v>
      </c>
      <c r="O51" s="22">
        <f>O44-(O$46*$P44)/$P$46</f>
        <v>0</v>
      </c>
      <c r="P51" s="10">
        <v>0</v>
      </c>
      <c r="Q51" s="10">
        <f t="shared" ref="Q51:T52" si="4">Q44-(Q$46*$P44)/$P$46</f>
        <v>1</v>
      </c>
      <c r="R51" s="10">
        <f t="shared" si="4"/>
        <v>0</v>
      </c>
      <c r="S51" s="10">
        <f t="shared" si="4"/>
        <v>1</v>
      </c>
      <c r="T51" s="9">
        <f t="shared" si="4"/>
        <v>20</v>
      </c>
    </row>
    <row r="52" spans="2:20" x14ac:dyDescent="0.25">
      <c r="B52" s="8" t="s">
        <v>2</v>
      </c>
      <c r="C52" t="s">
        <v>1</v>
      </c>
      <c r="D52" s="30">
        <v>-1.01</v>
      </c>
      <c r="E52" s="27">
        <v>1</v>
      </c>
      <c r="F52" s="20">
        <v>0</v>
      </c>
      <c r="G52" s="20">
        <v>0</v>
      </c>
      <c r="H52" s="20">
        <v>0</v>
      </c>
      <c r="I52" s="20">
        <v>60</v>
      </c>
      <c r="L52" s="8" t="s">
        <v>4</v>
      </c>
      <c r="M52" t="s">
        <v>3</v>
      </c>
      <c r="N52" s="8">
        <f>N45-(N$46*$P45)/$P$46</f>
        <v>-1.01</v>
      </c>
      <c r="O52" s="20">
        <f>O45-(O$46*$P45)/$P$46</f>
        <v>1</v>
      </c>
      <c r="P52">
        <v>0</v>
      </c>
      <c r="Q52">
        <f t="shared" si="4"/>
        <v>0</v>
      </c>
      <c r="R52">
        <f t="shared" si="4"/>
        <v>1</v>
      </c>
      <c r="S52">
        <f t="shared" si="4"/>
        <v>0</v>
      </c>
      <c r="T52" s="7">
        <f t="shared" si="4"/>
        <v>60</v>
      </c>
    </row>
    <row r="53" spans="2:20" x14ac:dyDescent="0.25">
      <c r="B53" s="6" t="s">
        <v>15</v>
      </c>
      <c r="C53" s="5" t="s">
        <v>17</v>
      </c>
      <c r="D53" s="25">
        <f>D46-(D$45*$E46)/$E$45</f>
        <v>-1.0201</v>
      </c>
      <c r="E53" s="29">
        <f>-E46</f>
        <v>1.01</v>
      </c>
      <c r="F53" s="5">
        <f t="shared" ref="F53:I54" si="5">F46-(F$45*$E46)/$E$45</f>
        <v>1</v>
      </c>
      <c r="G53" s="5">
        <f t="shared" si="5"/>
        <v>-1.0249999999999999</v>
      </c>
      <c r="H53" s="5">
        <f t="shared" si="5"/>
        <v>0</v>
      </c>
      <c r="I53" s="16">
        <f t="shared" si="5"/>
        <v>40</v>
      </c>
      <c r="J53" s="16"/>
      <c r="L53" s="6" t="s">
        <v>15</v>
      </c>
      <c r="M53" s="5" t="s">
        <v>17</v>
      </c>
      <c r="N53" s="28">
        <v>0</v>
      </c>
      <c r="O53" s="27">
        <v>-1.01</v>
      </c>
      <c r="P53" s="20">
        <v>1</v>
      </c>
      <c r="Q53" s="20">
        <v>-1.0249999999999999</v>
      </c>
      <c r="R53" s="20">
        <v>0</v>
      </c>
      <c r="S53" s="20">
        <v>0</v>
      </c>
      <c r="T53" s="26">
        <v>-20.6</v>
      </c>
    </row>
    <row r="54" spans="2:20" ht="15.75" thickBot="1" x14ac:dyDescent="0.3">
      <c r="B54" s="3">
        <v>1</v>
      </c>
      <c r="C54" s="2" t="s">
        <v>0</v>
      </c>
      <c r="D54" s="25">
        <f>D47-(D$45*$E47)/$E$45</f>
        <v>9.6989999999999993E-3</v>
      </c>
      <c r="E54" s="19">
        <f>-E47</f>
        <v>2.01E-2</v>
      </c>
      <c r="F54" s="12">
        <f t="shared" si="5"/>
        <v>0.01</v>
      </c>
      <c r="G54" s="12">
        <f t="shared" si="5"/>
        <v>4.7500000000000007E-3</v>
      </c>
      <c r="H54" s="12">
        <f t="shared" si="5"/>
        <v>0.04</v>
      </c>
      <c r="I54" s="12">
        <f t="shared" si="5"/>
        <v>1.8</v>
      </c>
      <c r="L54" s="3">
        <v>1</v>
      </c>
      <c r="M54" s="2" t="s">
        <v>0</v>
      </c>
      <c r="N54" s="13">
        <f>N47-(N$46*$P47)/$P$46</f>
        <v>4.7499999999999973E-3</v>
      </c>
      <c r="O54" s="19">
        <f>O47-(O$46*$P47)/$P$46</f>
        <v>4.9000000000000016E-3</v>
      </c>
      <c r="P54" s="12">
        <f>-P47</f>
        <v>0.01</v>
      </c>
      <c r="Q54" s="12">
        <f>Q47-(Q$46*$P47)/$P$46</f>
        <v>4.7500000000000007E-3</v>
      </c>
      <c r="R54" s="12">
        <f>R47-(R$46*$P47)/$P$46</f>
        <v>2.5000000000000001E-2</v>
      </c>
      <c r="S54" s="12">
        <f>S47-(S$46*$P47)/$P$46</f>
        <v>0.04</v>
      </c>
      <c r="T54" s="1">
        <f>T47-(T$46*$P47)/$P$46</f>
        <v>2.0939999999999999</v>
      </c>
    </row>
    <row r="55" spans="2:20" ht="15.75" thickBot="1" x14ac:dyDescent="0.3"/>
    <row r="56" spans="2:20" x14ac:dyDescent="0.25">
      <c r="D56" s="11"/>
      <c r="E56" s="10"/>
      <c r="F56" s="9" t="s">
        <v>7</v>
      </c>
      <c r="L56" s="11"/>
      <c r="M56" s="10"/>
      <c r="N56" s="18" t="s">
        <v>16</v>
      </c>
      <c r="O56" s="10" t="s">
        <v>15</v>
      </c>
      <c r="P56" s="10" t="s">
        <v>14</v>
      </c>
      <c r="Q56" s="10" t="s">
        <v>20</v>
      </c>
      <c r="R56" s="10" t="s">
        <v>12</v>
      </c>
      <c r="S56" s="10" t="s">
        <v>11</v>
      </c>
      <c r="T56" s="17" t="s">
        <v>7</v>
      </c>
    </row>
    <row r="57" spans="2:20" ht="15.75" thickBot="1" x14ac:dyDescent="0.3">
      <c r="D57" s="6"/>
      <c r="E57" s="5"/>
      <c r="F57" s="4">
        <v>1</v>
      </c>
      <c r="L57" s="6"/>
      <c r="M57" s="5"/>
      <c r="N57" s="16" t="s">
        <v>10</v>
      </c>
      <c r="O57" s="15" t="s">
        <v>9</v>
      </c>
      <c r="Q57" t="s">
        <v>19</v>
      </c>
      <c r="T57" s="14">
        <v>1</v>
      </c>
    </row>
    <row r="58" spans="2:20" x14ac:dyDescent="0.25">
      <c r="D58" s="8" t="s">
        <v>13</v>
      </c>
      <c r="E58" t="s">
        <v>18</v>
      </c>
      <c r="F58" s="7">
        <v>20</v>
      </c>
      <c r="L58" s="8" t="s">
        <v>13</v>
      </c>
      <c r="M58" t="s">
        <v>18</v>
      </c>
      <c r="N58" s="24">
        <f>N51-(N$53*$O51)/$O$53</f>
        <v>1</v>
      </c>
      <c r="O58" s="22">
        <f>-O51/$O$53</f>
        <v>0</v>
      </c>
      <c r="P58" s="22">
        <f t="shared" ref="P58:S59" si="6">P51-(P$53*$O51)/$O$53</f>
        <v>0</v>
      </c>
      <c r="Q58" s="23">
        <f t="shared" si="6"/>
        <v>1</v>
      </c>
      <c r="R58" s="22">
        <f t="shared" si="6"/>
        <v>0</v>
      </c>
      <c r="S58" s="22">
        <f t="shared" si="6"/>
        <v>1</v>
      </c>
      <c r="T58" s="21">
        <v>20</v>
      </c>
    </row>
    <row r="59" spans="2:20" x14ac:dyDescent="0.25">
      <c r="D59" s="8" t="s">
        <v>2</v>
      </c>
      <c r="E59" t="s">
        <v>1</v>
      </c>
      <c r="F59" s="7">
        <v>60</v>
      </c>
      <c r="L59" s="8" t="s">
        <v>4</v>
      </c>
      <c r="M59" t="s">
        <v>3</v>
      </c>
      <c r="N59" s="8">
        <f>N52-(N$53*$O52)/$O$53</f>
        <v>-1.01</v>
      </c>
      <c r="O59">
        <f>-O52/$O$53</f>
        <v>0.99009900990099009</v>
      </c>
      <c r="P59">
        <f t="shared" si="6"/>
        <v>0.99009900990099009</v>
      </c>
      <c r="Q59" s="20">
        <f t="shared" si="6"/>
        <v>-1.0148514851485149</v>
      </c>
      <c r="R59">
        <f t="shared" si="6"/>
        <v>1</v>
      </c>
      <c r="S59">
        <f t="shared" si="6"/>
        <v>0</v>
      </c>
      <c r="T59">
        <f>T52-(T$53*$O52)/$O$53</f>
        <v>39.603960396039604</v>
      </c>
    </row>
    <row r="60" spans="2:20" x14ac:dyDescent="0.25">
      <c r="D60" s="6" t="s">
        <v>15</v>
      </c>
      <c r="E60" s="5" t="s">
        <v>17</v>
      </c>
      <c r="F60" s="4">
        <v>40</v>
      </c>
      <c r="L60" s="6" t="s">
        <v>2</v>
      </c>
      <c r="M60" s="5" t="s">
        <v>1</v>
      </c>
      <c r="N60" s="8">
        <f>N53/$O$53</f>
        <v>0</v>
      </c>
      <c r="O60">
        <f>1/O53</f>
        <v>-0.99009900990099009</v>
      </c>
      <c r="P60">
        <f>P53/$O$53</f>
        <v>-0.99009900990099009</v>
      </c>
      <c r="Q60" s="20">
        <f>Q53/$O$53</f>
        <v>1.0148514851485149</v>
      </c>
      <c r="R60">
        <f>R53/$O$53</f>
        <v>0</v>
      </c>
      <c r="S60">
        <f>S53/$O$53</f>
        <v>0</v>
      </c>
      <c r="T60" s="7">
        <f>T53/$O$53</f>
        <v>20.396039603960396</v>
      </c>
    </row>
    <row r="61" spans="2:20" ht="15.75" thickBot="1" x14ac:dyDescent="0.3">
      <c r="D61" s="3">
        <v>1</v>
      </c>
      <c r="E61" s="2" t="s">
        <v>0</v>
      </c>
      <c r="F61" s="1">
        <v>1.8</v>
      </c>
      <c r="L61" s="3">
        <v>1</v>
      </c>
      <c r="M61" s="2" t="s">
        <v>0</v>
      </c>
      <c r="N61" s="13">
        <f>N54-(N$53*$O54)/$O$53</f>
        <v>4.7499999999999973E-3</v>
      </c>
      <c r="O61" s="12">
        <f>-O54/$O$53</f>
        <v>4.8514851485148532E-3</v>
      </c>
      <c r="P61" s="12">
        <f>P54-(P$53*$O54)/$O$53</f>
        <v>1.4851485148514854E-2</v>
      </c>
      <c r="Q61" s="19">
        <f>Q54-(Q$53*$O54)/$O$53</f>
        <v>-2.2277227722772297E-4</v>
      </c>
      <c r="R61" s="12">
        <f>R54-(R$53*$O54)/$O$53</f>
        <v>2.5000000000000001E-2</v>
      </c>
      <c r="S61" s="12">
        <f>S54-(S$53*$O54)/$O$53</f>
        <v>0.04</v>
      </c>
      <c r="T61" s="1">
        <f>T54-(T$53*$O54)/$O$53</f>
        <v>1.9940594059405938</v>
      </c>
    </row>
    <row r="62" spans="2:20" ht="15.75" thickBot="1" x14ac:dyDescent="0.3"/>
    <row r="63" spans="2:20" x14ac:dyDescent="0.25">
      <c r="L63" s="11"/>
      <c r="M63" s="10"/>
      <c r="N63" s="18" t="s">
        <v>16</v>
      </c>
      <c r="O63" s="10" t="s">
        <v>15</v>
      </c>
      <c r="P63" s="10" t="s">
        <v>14</v>
      </c>
      <c r="Q63" s="10" t="s">
        <v>13</v>
      </c>
      <c r="R63" s="10" t="s">
        <v>12</v>
      </c>
      <c r="S63" s="10" t="s">
        <v>11</v>
      </c>
      <c r="T63" s="17" t="s">
        <v>7</v>
      </c>
    </row>
    <row r="64" spans="2:20" ht="15.75" thickBot="1" x14ac:dyDescent="0.3">
      <c r="L64" s="6"/>
      <c r="M64" s="5"/>
      <c r="N64" s="16" t="s">
        <v>10</v>
      </c>
      <c r="O64" s="15" t="s">
        <v>9</v>
      </c>
      <c r="Q64" s="15" t="s">
        <v>8</v>
      </c>
      <c r="T64" s="14">
        <v>1</v>
      </c>
    </row>
    <row r="65" spans="12:20" x14ac:dyDescent="0.25">
      <c r="L65" s="8" t="s">
        <v>6</v>
      </c>
      <c r="M65" t="s">
        <v>5</v>
      </c>
      <c r="N65" s="11">
        <v>1</v>
      </c>
      <c r="O65" s="10">
        <v>0</v>
      </c>
      <c r="P65" s="10">
        <v>0</v>
      </c>
      <c r="Q65" s="10">
        <v>1</v>
      </c>
      <c r="R65" s="10">
        <v>0</v>
      </c>
      <c r="S65" s="10">
        <v>1</v>
      </c>
      <c r="T65" s="9">
        <v>20</v>
      </c>
    </row>
    <row r="66" spans="12:20" x14ac:dyDescent="0.25">
      <c r="L66" s="8" t="s">
        <v>4</v>
      </c>
      <c r="M66" t="s">
        <v>3</v>
      </c>
      <c r="N66" s="8">
        <f t="shared" ref="N66:P68" si="7">N59-(N$58*$Q59)/$Q$58</f>
        <v>4.8514851485148558E-3</v>
      </c>
      <c r="O66">
        <f t="shared" si="7"/>
        <v>0.99009900990099009</v>
      </c>
      <c r="P66">
        <f t="shared" si="7"/>
        <v>0.99009900990099009</v>
      </c>
      <c r="Q66">
        <f>-Q59</f>
        <v>1.0148514851485149</v>
      </c>
      <c r="R66">
        <f t="shared" ref="R66:T68" si="8">R59-(R$58*$Q59)/$Q$58</f>
        <v>1</v>
      </c>
      <c r="S66">
        <f t="shared" si="8"/>
        <v>1.0148514851485149</v>
      </c>
      <c r="T66" s="7">
        <f t="shared" si="8"/>
        <v>59.900990099009903</v>
      </c>
    </row>
    <row r="67" spans="12:20" x14ac:dyDescent="0.25">
      <c r="L67" s="6" t="s">
        <v>2</v>
      </c>
      <c r="M67" s="5" t="s">
        <v>1</v>
      </c>
      <c r="N67" s="8">
        <f t="shared" si="7"/>
        <v>-1.0148514851485149</v>
      </c>
      <c r="O67">
        <f t="shared" si="7"/>
        <v>-0.99009900990099009</v>
      </c>
      <c r="P67">
        <f t="shared" si="7"/>
        <v>-0.99009900990099009</v>
      </c>
      <c r="Q67">
        <f>-Q60</f>
        <v>-1.0148514851485149</v>
      </c>
      <c r="R67">
        <f t="shared" si="8"/>
        <v>0</v>
      </c>
      <c r="S67">
        <f t="shared" si="8"/>
        <v>-1.0148514851485149</v>
      </c>
      <c r="T67" s="7">
        <f t="shared" si="8"/>
        <v>9.9009900990097321E-2</v>
      </c>
    </row>
    <row r="68" spans="12:20" ht="15.75" thickBot="1" x14ac:dyDescent="0.3">
      <c r="L68" s="3">
        <v>1</v>
      </c>
      <c r="M68" s="2" t="s">
        <v>0</v>
      </c>
      <c r="N68" s="13">
        <f t="shared" si="7"/>
        <v>4.9727722772277203E-3</v>
      </c>
      <c r="O68" s="12">
        <f t="shared" si="7"/>
        <v>4.8514851485148532E-3</v>
      </c>
      <c r="P68" s="12">
        <f t="shared" si="7"/>
        <v>1.4851485148514854E-2</v>
      </c>
      <c r="Q68" s="12">
        <f>-Q61</f>
        <v>2.2277227722772297E-4</v>
      </c>
      <c r="R68" s="12">
        <f t="shared" si="8"/>
        <v>2.5000000000000001E-2</v>
      </c>
      <c r="S68" s="12">
        <f t="shared" si="8"/>
        <v>4.0222772277227724E-2</v>
      </c>
      <c r="T68" s="1">
        <f t="shared" si="8"/>
        <v>1.9985148514851483</v>
      </c>
    </row>
    <row r="69" spans="12:20" ht="15.75" thickBot="1" x14ac:dyDescent="0.3"/>
    <row r="70" spans="12:20" x14ac:dyDescent="0.25">
      <c r="M70" s="11"/>
      <c r="N70" s="10"/>
      <c r="O70" s="9" t="s">
        <v>7</v>
      </c>
    </row>
    <row r="71" spans="12:20" x14ac:dyDescent="0.25">
      <c r="M71" s="6"/>
      <c r="N71" s="5"/>
      <c r="O71" s="4">
        <v>1</v>
      </c>
    </row>
    <row r="72" spans="12:20" x14ac:dyDescent="0.25">
      <c r="M72" s="8" t="s">
        <v>6</v>
      </c>
      <c r="N72" t="s">
        <v>5</v>
      </c>
      <c r="O72" s="7">
        <v>20</v>
      </c>
    </row>
    <row r="73" spans="12:20" x14ac:dyDescent="0.25">
      <c r="M73" s="8" t="s">
        <v>4</v>
      </c>
      <c r="N73" t="s">
        <v>3</v>
      </c>
      <c r="O73" s="7">
        <v>59.900990099009903</v>
      </c>
    </row>
    <row r="74" spans="12:20" x14ac:dyDescent="0.25">
      <c r="M74" s="6" t="s">
        <v>2</v>
      </c>
      <c r="N74" s="5" t="s">
        <v>1</v>
      </c>
      <c r="O74" s="4">
        <v>9.9009900990097321E-2</v>
      </c>
    </row>
    <row r="75" spans="12:20" ht="15.75" thickBot="1" x14ac:dyDescent="0.3">
      <c r="M75" s="3">
        <v>1</v>
      </c>
      <c r="N75" s="2" t="s">
        <v>0</v>
      </c>
      <c r="O75" s="1">
        <v>1.9985148514851483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6"/>
  <sheetViews>
    <sheetView tabSelected="1" workbookViewId="0">
      <selection activeCell="L28" sqref="L28"/>
    </sheetView>
  </sheetViews>
  <sheetFormatPr defaultRowHeight="15" x14ac:dyDescent="0.25"/>
  <sheetData>
    <row r="1" spans="2:15" x14ac:dyDescent="0.25">
      <c r="B1" t="s">
        <v>47</v>
      </c>
    </row>
    <row r="2" spans="2:15" x14ac:dyDescent="0.25">
      <c r="B2" s="31" t="s">
        <v>33</v>
      </c>
      <c r="C2" s="52" t="s">
        <v>32</v>
      </c>
      <c r="D2" s="52" t="s">
        <v>31</v>
      </c>
      <c r="E2" s="52" t="s">
        <v>46</v>
      </c>
      <c r="F2" s="52" t="s">
        <v>30</v>
      </c>
      <c r="G2" s="52" t="s">
        <v>29</v>
      </c>
      <c r="H2" s="52" t="s">
        <v>45</v>
      </c>
      <c r="I2" s="52" t="s">
        <v>44</v>
      </c>
      <c r="J2" s="31" t="s">
        <v>43</v>
      </c>
      <c r="K2" s="52" t="s">
        <v>42</v>
      </c>
      <c r="L2" s="52" t="s">
        <v>41</v>
      </c>
      <c r="M2" s="51" t="s">
        <v>40</v>
      </c>
    </row>
    <row r="3" spans="2:15" x14ac:dyDescent="0.25">
      <c r="B3" s="16">
        <v>110</v>
      </c>
      <c r="C3">
        <v>0</v>
      </c>
      <c r="D3">
        <v>0</v>
      </c>
      <c r="E3">
        <v>0</v>
      </c>
      <c r="F3">
        <v>40</v>
      </c>
      <c r="G3">
        <v>60</v>
      </c>
      <c r="H3">
        <v>0</v>
      </c>
      <c r="I3">
        <v>80</v>
      </c>
      <c r="J3" s="16">
        <v>1</v>
      </c>
      <c r="K3">
        <v>1</v>
      </c>
      <c r="L3">
        <v>0</v>
      </c>
      <c r="M3" s="50">
        <v>1</v>
      </c>
    </row>
    <row r="4" spans="2:15" x14ac:dyDescent="0.25">
      <c r="B4" s="16">
        <v>1</v>
      </c>
      <c r="C4">
        <v>1</v>
      </c>
      <c r="D4">
        <v>1</v>
      </c>
      <c r="E4">
        <v>1</v>
      </c>
      <c r="J4" s="16"/>
      <c r="M4" s="50"/>
      <c r="N4">
        <f t="shared" ref="N4:N9" si="0">SUMPRODUCT(B$3:I$3,B4:I4)</f>
        <v>110</v>
      </c>
      <c r="O4">
        <v>110</v>
      </c>
    </row>
    <row r="5" spans="2:15" x14ac:dyDescent="0.25">
      <c r="B5" s="25"/>
      <c r="C5" s="5"/>
      <c r="D5" s="5"/>
      <c r="E5" s="5"/>
      <c r="F5" s="5">
        <v>1</v>
      </c>
      <c r="G5" s="5">
        <v>1</v>
      </c>
      <c r="H5" s="5">
        <v>1</v>
      </c>
      <c r="I5" s="5">
        <v>1</v>
      </c>
      <c r="J5" s="25"/>
      <c r="K5" s="5"/>
      <c r="L5" s="5"/>
      <c r="M5" s="49"/>
      <c r="N5">
        <f t="shared" si="0"/>
        <v>180</v>
      </c>
      <c r="O5" s="5">
        <v>180</v>
      </c>
    </row>
    <row r="6" spans="2:15" x14ac:dyDescent="0.25">
      <c r="B6" s="16">
        <v>1</v>
      </c>
      <c r="F6">
        <v>1</v>
      </c>
      <c r="J6" s="16">
        <v>-150</v>
      </c>
      <c r="M6" s="50"/>
      <c r="N6">
        <f t="shared" si="0"/>
        <v>150</v>
      </c>
      <c r="O6">
        <v>0</v>
      </c>
    </row>
    <row r="7" spans="2:15" x14ac:dyDescent="0.25">
      <c r="B7" s="16"/>
      <c r="C7">
        <v>1</v>
      </c>
      <c r="G7">
        <v>1</v>
      </c>
      <c r="J7" s="16"/>
      <c r="K7">
        <v>-70</v>
      </c>
      <c r="M7" s="50"/>
      <c r="N7">
        <f t="shared" si="0"/>
        <v>60</v>
      </c>
      <c r="O7">
        <v>0</v>
      </c>
    </row>
    <row r="8" spans="2:15" x14ac:dyDescent="0.25">
      <c r="B8" s="16"/>
      <c r="D8">
        <v>1</v>
      </c>
      <c r="H8">
        <v>1</v>
      </c>
      <c r="J8" s="16"/>
      <c r="L8">
        <v>-140</v>
      </c>
      <c r="M8" s="50"/>
      <c r="N8">
        <f t="shared" si="0"/>
        <v>0</v>
      </c>
      <c r="O8">
        <v>0</v>
      </c>
    </row>
    <row r="9" spans="2:15" x14ac:dyDescent="0.25">
      <c r="B9" s="16"/>
      <c r="E9">
        <v>1</v>
      </c>
      <c r="I9">
        <v>1</v>
      </c>
      <c r="J9" s="16"/>
      <c r="M9" s="50">
        <v>-80</v>
      </c>
      <c r="N9">
        <f t="shared" si="0"/>
        <v>80</v>
      </c>
      <c r="O9">
        <v>0</v>
      </c>
    </row>
    <row r="10" spans="2:15" x14ac:dyDescent="0.25">
      <c r="B10" s="25">
        <v>8</v>
      </c>
      <c r="C10" s="5">
        <v>10</v>
      </c>
      <c r="D10" s="5">
        <v>5</v>
      </c>
      <c r="E10" s="5">
        <v>7</v>
      </c>
      <c r="F10" s="5">
        <v>12</v>
      </c>
      <c r="G10" s="5">
        <v>14</v>
      </c>
      <c r="H10" s="5">
        <v>6</v>
      </c>
      <c r="I10" s="5">
        <v>7</v>
      </c>
      <c r="J10" s="25">
        <v>1650</v>
      </c>
      <c r="K10" s="5">
        <v>630</v>
      </c>
      <c r="L10" s="5">
        <v>2380</v>
      </c>
      <c r="M10" s="49">
        <v>400</v>
      </c>
      <c r="N10" s="48">
        <f>SUMPRODUCT(B$3:M$3,B10:M10)</f>
        <v>5440</v>
      </c>
    </row>
    <row r="13" spans="2:15" x14ac:dyDescent="0.25">
      <c r="B13" t="s">
        <v>38</v>
      </c>
      <c r="C13" s="47">
        <f>J3</f>
        <v>1</v>
      </c>
      <c r="D13" s="47">
        <f>K3</f>
        <v>1</v>
      </c>
      <c r="E13" s="47">
        <f>L3</f>
        <v>0</v>
      </c>
      <c r="F13" s="47">
        <f>M3</f>
        <v>1</v>
      </c>
    </row>
    <row r="16" spans="2:15" x14ac:dyDescent="0.25">
      <c r="C16" s="46">
        <f>B3</f>
        <v>110</v>
      </c>
      <c r="D16" s="46">
        <f>F3</f>
        <v>40</v>
      </c>
    </row>
    <row r="17" spans="2:11" ht="15.75" thickBot="1" x14ac:dyDescent="0.3">
      <c r="B17" t="s">
        <v>36</v>
      </c>
      <c r="C17" s="46">
        <f>C3</f>
        <v>0</v>
      </c>
      <c r="D17" s="46">
        <f>G3</f>
        <v>60</v>
      </c>
    </row>
    <row r="18" spans="2:11" ht="15.75" thickBot="1" x14ac:dyDescent="0.3">
      <c r="C18" s="46">
        <f>D3</f>
        <v>0</v>
      </c>
      <c r="D18" s="46">
        <f>H3</f>
        <v>0</v>
      </c>
      <c r="G18" s="45">
        <v>150</v>
      </c>
      <c r="H18" s="44">
        <v>11</v>
      </c>
      <c r="I18">
        <f>G18*H18</f>
        <v>1650</v>
      </c>
      <c r="J18">
        <f>I18*K18</f>
        <v>1650</v>
      </c>
      <c r="K18">
        <v>1</v>
      </c>
    </row>
    <row r="19" spans="2:11" ht="15.75" thickBot="1" x14ac:dyDescent="0.3">
      <c r="C19" s="46">
        <f>E3</f>
        <v>0</v>
      </c>
      <c r="D19" s="46">
        <f>I3</f>
        <v>80</v>
      </c>
      <c r="G19" s="43">
        <v>70</v>
      </c>
      <c r="H19" s="42">
        <v>9</v>
      </c>
      <c r="I19">
        <f>G19*H19</f>
        <v>630</v>
      </c>
      <c r="J19">
        <f>I19*K19</f>
        <v>630</v>
      </c>
      <c r="K19">
        <v>1</v>
      </c>
    </row>
    <row r="20" spans="2:11" ht="15.75" thickBot="1" x14ac:dyDescent="0.3">
      <c r="G20" s="43">
        <v>140</v>
      </c>
      <c r="H20" s="42">
        <v>17</v>
      </c>
      <c r="I20">
        <f>G20*H20</f>
        <v>2380</v>
      </c>
      <c r="J20">
        <f>I20*K20</f>
        <v>2380</v>
      </c>
      <c r="K20">
        <v>1</v>
      </c>
    </row>
    <row r="21" spans="2:11" ht="15.75" thickBot="1" x14ac:dyDescent="0.3">
      <c r="G21" s="43">
        <v>80</v>
      </c>
      <c r="H21" s="42">
        <v>5</v>
      </c>
      <c r="I21">
        <f>G21*H21</f>
        <v>400</v>
      </c>
      <c r="J21">
        <f>I21*K21</f>
        <v>0</v>
      </c>
      <c r="K21">
        <v>0</v>
      </c>
    </row>
    <row r="22" spans="2:11" x14ac:dyDescent="0.25">
      <c r="J22">
        <f>SUM(J18:J21)</f>
        <v>4660</v>
      </c>
    </row>
    <row r="24" spans="2:11" x14ac:dyDescent="0.25">
      <c r="G24" s="41"/>
    </row>
    <row r="25" spans="2:11" x14ac:dyDescent="0.25">
      <c r="D25" s="159"/>
      <c r="E25" s="159"/>
      <c r="F25" s="159"/>
      <c r="G25" s="159"/>
      <c r="H25" s="159"/>
    </row>
    <row r="26" spans="2:11" x14ac:dyDescent="0.25">
      <c r="D26" s="159"/>
      <c r="E26" s="159"/>
      <c r="F26" s="159"/>
      <c r="G26" s="159"/>
      <c r="H26" s="159"/>
    </row>
    <row r="27" spans="2:11" x14ac:dyDescent="0.25">
      <c r="D27" s="159"/>
      <c r="E27" s="159"/>
      <c r="F27" s="160"/>
      <c r="G27" s="160"/>
      <c r="H27" s="159"/>
    </row>
    <row r="28" spans="2:11" x14ac:dyDescent="0.25">
      <c r="D28" s="159"/>
      <c r="E28" s="159"/>
      <c r="F28" s="160"/>
      <c r="G28" s="160"/>
      <c r="H28" s="159"/>
    </row>
    <row r="29" spans="2:11" x14ac:dyDescent="0.25">
      <c r="D29" s="159"/>
      <c r="E29" s="159"/>
      <c r="F29" s="160"/>
      <c r="G29" s="160"/>
      <c r="H29" s="159"/>
    </row>
    <row r="30" spans="2:11" x14ac:dyDescent="0.25">
      <c r="D30" s="159"/>
      <c r="E30" s="159"/>
      <c r="F30" s="160"/>
      <c r="G30" s="160"/>
      <c r="H30" s="159"/>
    </row>
    <row r="31" spans="2:11" x14ac:dyDescent="0.25">
      <c r="D31" s="159"/>
      <c r="E31" s="159"/>
      <c r="F31" s="159"/>
      <c r="G31" s="159"/>
      <c r="H31" s="159"/>
    </row>
    <row r="32" spans="2:11" x14ac:dyDescent="0.25">
      <c r="F32" s="41"/>
      <c r="G32" s="41"/>
    </row>
    <row r="33" spans="6:7" x14ac:dyDescent="0.25">
      <c r="F33" s="41"/>
      <c r="G33" s="41"/>
    </row>
    <row r="34" spans="6:7" x14ac:dyDescent="0.25">
      <c r="G34" s="41"/>
    </row>
    <row r="35" spans="6:7" x14ac:dyDescent="0.25">
      <c r="G35" s="41"/>
    </row>
    <row r="36" spans="6:7" x14ac:dyDescent="0.25">
      <c r="G36" s="4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87"/>
  <sheetViews>
    <sheetView topLeftCell="A58" zoomScale="85" zoomScaleNormal="85" workbookViewId="0">
      <selection activeCell="C105" sqref="C105"/>
    </sheetView>
  </sheetViews>
  <sheetFormatPr defaultRowHeight="15" x14ac:dyDescent="0.25"/>
  <cols>
    <col min="8" max="8" width="10.5703125" bestFit="1" customWidth="1"/>
  </cols>
  <sheetData>
    <row r="1" spans="2:28" x14ac:dyDescent="0.25">
      <c r="B1" t="s">
        <v>68</v>
      </c>
    </row>
    <row r="2" spans="2:28" x14ac:dyDescent="0.25">
      <c r="B2" t="s">
        <v>67</v>
      </c>
      <c r="C2" t="s">
        <v>66</v>
      </c>
      <c r="D2" t="s">
        <v>65</v>
      </c>
      <c r="E2">
        <v>1</v>
      </c>
      <c r="H2" t="s">
        <v>57</v>
      </c>
      <c r="I2" t="s">
        <v>50</v>
      </c>
    </row>
    <row r="3" spans="2:28" x14ac:dyDescent="0.25">
      <c r="B3">
        <v>4.0000000000000001E-3</v>
      </c>
      <c r="C3">
        <v>0</v>
      </c>
      <c r="D3">
        <v>1.0000000000000001E-5</v>
      </c>
      <c r="H3" s="64">
        <f>B3*J9</f>
        <v>400</v>
      </c>
      <c r="I3" s="64">
        <f>C3*J9</f>
        <v>0</v>
      </c>
    </row>
    <row r="4" spans="2:28" x14ac:dyDescent="0.25">
      <c r="B4">
        <v>3</v>
      </c>
      <c r="C4">
        <v>2</v>
      </c>
      <c r="D4">
        <v>-1800</v>
      </c>
      <c r="E4">
        <v>0</v>
      </c>
      <c r="H4">
        <v>3</v>
      </c>
      <c r="I4">
        <v>2</v>
      </c>
      <c r="J4">
        <f>SUMPRODUCT(H3:I3,H4:I4)</f>
        <v>1200</v>
      </c>
      <c r="K4">
        <v>1800</v>
      </c>
      <c r="S4" t="s">
        <v>68</v>
      </c>
    </row>
    <row r="5" spans="2:28" x14ac:dyDescent="0.25">
      <c r="B5">
        <v>-3</v>
      </c>
      <c r="C5">
        <v>-2</v>
      </c>
      <c r="D5">
        <v>600</v>
      </c>
      <c r="E5">
        <v>0</v>
      </c>
      <c r="H5">
        <v>-3</v>
      </c>
      <c r="I5">
        <v>-2</v>
      </c>
      <c r="J5">
        <f>SUMPRODUCT(H3:I3,H5:I5)</f>
        <v>-1200</v>
      </c>
      <c r="K5">
        <v>-600</v>
      </c>
      <c r="S5" t="s">
        <v>67</v>
      </c>
      <c r="T5" t="s">
        <v>66</v>
      </c>
      <c r="U5" t="s">
        <v>65</v>
      </c>
      <c r="V5">
        <v>1</v>
      </c>
      <c r="Y5" t="s">
        <v>57</v>
      </c>
      <c r="Z5" t="s">
        <v>50</v>
      </c>
    </row>
    <row r="6" spans="2:28" x14ac:dyDescent="0.25">
      <c r="B6">
        <v>2</v>
      </c>
      <c r="C6">
        <v>4</v>
      </c>
      <c r="D6">
        <v>-800</v>
      </c>
      <c r="E6">
        <v>0</v>
      </c>
      <c r="H6">
        <v>2</v>
      </c>
      <c r="I6">
        <v>4</v>
      </c>
      <c r="J6">
        <f>SUMPRODUCT(H3:I3,H6:I6)</f>
        <v>800</v>
      </c>
      <c r="K6">
        <v>800</v>
      </c>
      <c r="S6">
        <v>1.0899223524282718E-3</v>
      </c>
      <c r="T6">
        <v>1.1275058818223502E-4</v>
      </c>
      <c r="U6">
        <v>5.2616941151709693E-6</v>
      </c>
      <c r="Y6">
        <v>108.99223524282718</v>
      </c>
      <c r="Z6">
        <v>11.275058818223501</v>
      </c>
    </row>
    <row r="7" spans="2:28" x14ac:dyDescent="0.25">
      <c r="B7">
        <v>-2</v>
      </c>
      <c r="C7">
        <v>-4</v>
      </c>
      <c r="D7">
        <v>400</v>
      </c>
      <c r="E7">
        <v>0</v>
      </c>
      <c r="H7">
        <v>-2</v>
      </c>
      <c r="I7">
        <v>-4</v>
      </c>
      <c r="J7">
        <f>SUMPRODUCT(H3:I3,H7:I7)</f>
        <v>-800</v>
      </c>
      <c r="K7">
        <v>-400</v>
      </c>
      <c r="S7">
        <v>5</v>
      </c>
      <c r="T7">
        <v>3</v>
      </c>
      <c r="U7">
        <v>-1100</v>
      </c>
      <c r="V7">
        <v>0</v>
      </c>
      <c r="Y7">
        <v>5</v>
      </c>
      <c r="Z7">
        <v>3</v>
      </c>
      <c r="AA7">
        <v>1100</v>
      </c>
      <c r="AB7">
        <v>1100</v>
      </c>
    </row>
    <row r="8" spans="2:28" x14ac:dyDescent="0.25">
      <c r="B8">
        <v>235.6</v>
      </c>
      <c r="C8">
        <v>3</v>
      </c>
      <c r="D8">
        <v>5760</v>
      </c>
      <c r="E8">
        <v>1</v>
      </c>
      <c r="H8">
        <v>-27.3</v>
      </c>
      <c r="I8">
        <v>20.9</v>
      </c>
      <c r="J8" s="64">
        <f>SUMPRODUCT(H3:I3,H8:I8)+K8</f>
        <v>-16680</v>
      </c>
      <c r="K8">
        <v>-5760</v>
      </c>
      <c r="S8">
        <v>-5</v>
      </c>
      <c r="T8">
        <v>-3</v>
      </c>
      <c r="U8">
        <v>550</v>
      </c>
      <c r="V8">
        <v>0</v>
      </c>
      <c r="Y8">
        <v>-5</v>
      </c>
      <c r="Z8">
        <v>-3</v>
      </c>
      <c r="AA8">
        <v>-550</v>
      </c>
      <c r="AB8">
        <v>-550</v>
      </c>
    </row>
    <row r="9" spans="2:28" x14ac:dyDescent="0.25">
      <c r="B9">
        <v>-27.3</v>
      </c>
      <c r="C9">
        <v>20.9</v>
      </c>
      <c r="D9">
        <v>-5760</v>
      </c>
      <c r="E9">
        <f>SUMPRODUCT(B3:D3,B8:D8)</f>
        <v>1</v>
      </c>
      <c r="H9">
        <v>235.6</v>
      </c>
      <c r="I9">
        <v>3</v>
      </c>
      <c r="J9">
        <v>100000</v>
      </c>
      <c r="K9">
        <v>5760</v>
      </c>
      <c r="S9">
        <v>3</v>
      </c>
      <c r="T9">
        <v>6</v>
      </c>
      <c r="U9">
        <v>-1500</v>
      </c>
      <c r="V9">
        <v>0</v>
      </c>
      <c r="Y9">
        <v>3</v>
      </c>
      <c r="Z9">
        <v>6</v>
      </c>
      <c r="AA9">
        <v>1500</v>
      </c>
      <c r="AB9">
        <v>1500</v>
      </c>
    </row>
    <row r="10" spans="2:28" x14ac:dyDescent="0.25">
      <c r="J10">
        <f>J8/J9</f>
        <v>-0.1668</v>
      </c>
      <c r="S10">
        <v>-3</v>
      </c>
      <c r="T10">
        <v>-6</v>
      </c>
      <c r="U10">
        <v>750</v>
      </c>
      <c r="V10">
        <v>0</v>
      </c>
      <c r="Y10">
        <v>-3</v>
      </c>
      <c r="Z10">
        <v>-6</v>
      </c>
      <c r="AA10">
        <v>-750</v>
      </c>
      <c r="AB10">
        <v>-750</v>
      </c>
    </row>
    <row r="11" spans="2:28" x14ac:dyDescent="0.25">
      <c r="S11">
        <v>856</v>
      </c>
      <c r="T11">
        <v>125</v>
      </c>
      <c r="U11">
        <v>10060</v>
      </c>
      <c r="V11">
        <v>1</v>
      </c>
      <c r="Y11">
        <v>794</v>
      </c>
      <c r="Z11">
        <v>50</v>
      </c>
      <c r="AA11">
        <v>87103.587723715958</v>
      </c>
      <c r="AB11">
        <v>-10060</v>
      </c>
    </row>
    <row r="12" spans="2:28" x14ac:dyDescent="0.25">
      <c r="S12">
        <v>794</v>
      </c>
      <c r="T12">
        <v>50</v>
      </c>
      <c r="U12">
        <v>-10060</v>
      </c>
      <c r="V12">
        <v>0.81810323443853961</v>
      </c>
      <c r="Y12">
        <v>856</v>
      </c>
      <c r="Z12">
        <v>125</v>
      </c>
      <c r="AA12">
        <v>100000</v>
      </c>
      <c r="AB12">
        <v>10060</v>
      </c>
    </row>
    <row r="13" spans="2:28" x14ac:dyDescent="0.25">
      <c r="B13" t="s">
        <v>57</v>
      </c>
      <c r="C13" t="s">
        <v>50</v>
      </c>
      <c r="AA13">
        <v>0.87103587723715958</v>
      </c>
    </row>
    <row r="14" spans="2:28" x14ac:dyDescent="0.25">
      <c r="B14">
        <f>H3</f>
        <v>400</v>
      </c>
      <c r="C14">
        <f>I3</f>
        <v>0</v>
      </c>
    </row>
    <row r="16" spans="2:28" x14ac:dyDescent="0.25">
      <c r="S16" t="s">
        <v>57</v>
      </c>
      <c r="T16" t="s">
        <v>50</v>
      </c>
    </row>
    <row r="17" spans="4:20" x14ac:dyDescent="0.25">
      <c r="S17">
        <v>108.99223524282718</v>
      </c>
      <c r="T17">
        <v>11.275058818223501</v>
      </c>
    </row>
    <row r="18" spans="4:20" ht="15.75" thickBot="1" x14ac:dyDescent="0.3">
      <c r="E18" s="15" t="s">
        <v>58</v>
      </c>
      <c r="F18" s="15" t="s">
        <v>59</v>
      </c>
      <c r="G18">
        <v>1</v>
      </c>
    </row>
    <row r="19" spans="4:20" x14ac:dyDescent="0.25">
      <c r="D19" s="15" t="s">
        <v>43</v>
      </c>
      <c r="E19" s="24">
        <v>3</v>
      </c>
      <c r="F19" s="10">
        <v>2</v>
      </c>
      <c r="G19" s="9">
        <v>1800</v>
      </c>
    </row>
    <row r="20" spans="4:20" x14ac:dyDescent="0.25">
      <c r="D20" s="15" t="s">
        <v>42</v>
      </c>
      <c r="E20" s="28">
        <v>-3</v>
      </c>
      <c r="F20">
        <v>-2</v>
      </c>
      <c r="G20" s="7">
        <v>-600</v>
      </c>
    </row>
    <row r="21" spans="4:20" x14ac:dyDescent="0.25">
      <c r="D21" s="15" t="s">
        <v>41</v>
      </c>
      <c r="E21" s="28">
        <v>2</v>
      </c>
      <c r="F21">
        <v>4</v>
      </c>
      <c r="G21" s="7">
        <v>800</v>
      </c>
    </row>
    <row r="22" spans="4:20" ht="15.75" thickBot="1" x14ac:dyDescent="0.3">
      <c r="D22" s="15" t="s">
        <v>40</v>
      </c>
      <c r="E22" s="53">
        <v>-2</v>
      </c>
      <c r="F22" s="19">
        <v>-4</v>
      </c>
      <c r="G22" s="62">
        <v>-400</v>
      </c>
    </row>
    <row r="23" spans="4:20" ht="15.75" thickBot="1" x14ac:dyDescent="0.3">
      <c r="D23" s="15" t="s">
        <v>49</v>
      </c>
      <c r="E23" s="59">
        <v>27.3</v>
      </c>
      <c r="F23" s="55">
        <v>-20.9</v>
      </c>
      <c r="G23" s="54">
        <v>-5760</v>
      </c>
    </row>
    <row r="24" spans="4:20" ht="15.75" thickBot="1" x14ac:dyDescent="0.3">
      <c r="D24" s="15" t="s">
        <v>48</v>
      </c>
      <c r="E24" s="58">
        <v>-235.6</v>
      </c>
      <c r="F24" s="12">
        <v>-3</v>
      </c>
      <c r="G24" s="1">
        <v>5760</v>
      </c>
    </row>
    <row r="26" spans="4:20" ht="15.75" thickBot="1" x14ac:dyDescent="0.3">
      <c r="E26" s="15" t="s">
        <v>41</v>
      </c>
      <c r="F26" s="15" t="s">
        <v>59</v>
      </c>
      <c r="G26">
        <v>1</v>
      </c>
      <c r="Q26" t="s">
        <v>57</v>
      </c>
      <c r="R26">
        <v>400</v>
      </c>
    </row>
    <row r="27" spans="4:20" x14ac:dyDescent="0.25">
      <c r="D27" s="15" t="s">
        <v>43</v>
      </c>
      <c r="E27" s="24">
        <f>-E19/$E$22</f>
        <v>1.5</v>
      </c>
      <c r="F27" s="10">
        <f t="shared" ref="F27:G29" si="0">F19-($E19*F$22)/$E$22</f>
        <v>-4</v>
      </c>
      <c r="G27" s="9">
        <f t="shared" si="0"/>
        <v>1200</v>
      </c>
      <c r="Q27" t="s">
        <v>64</v>
      </c>
      <c r="R27">
        <v>0</v>
      </c>
    </row>
    <row r="28" spans="4:20" x14ac:dyDescent="0.25">
      <c r="D28" s="15" t="s">
        <v>42</v>
      </c>
      <c r="E28" s="28">
        <f>-E20/$E$22</f>
        <v>-1.5</v>
      </c>
      <c r="F28">
        <f t="shared" si="0"/>
        <v>4</v>
      </c>
      <c r="G28" s="7">
        <f t="shared" si="0"/>
        <v>0</v>
      </c>
    </row>
    <row r="29" spans="4:20" x14ac:dyDescent="0.25">
      <c r="D29" s="15" t="s">
        <v>40</v>
      </c>
      <c r="E29" s="61">
        <f>-E21/$E$22</f>
        <v>1</v>
      </c>
      <c r="F29" s="20">
        <f t="shared" si="0"/>
        <v>0</v>
      </c>
      <c r="G29" s="26">
        <f t="shared" si="0"/>
        <v>400</v>
      </c>
    </row>
    <row r="30" spans="4:20" ht="15.75" thickBot="1" x14ac:dyDescent="0.3">
      <c r="D30" s="15" t="s">
        <v>57</v>
      </c>
      <c r="E30" s="58">
        <f>1/E22</f>
        <v>-0.5</v>
      </c>
      <c r="F30" s="12">
        <f>F22/$E$22</f>
        <v>2</v>
      </c>
      <c r="G30" s="1">
        <f>G22/$E$22</f>
        <v>200</v>
      </c>
      <c r="Q30">
        <f>R$26*B4</f>
        <v>1200</v>
      </c>
    </row>
    <row r="31" spans="4:20" ht="15.75" thickBot="1" x14ac:dyDescent="0.3">
      <c r="D31" s="15" t="s">
        <v>49</v>
      </c>
      <c r="E31" s="59">
        <f>-E23/$E$22</f>
        <v>13.65</v>
      </c>
      <c r="F31" s="55">
        <f>F23-($E23*F$22)/$E$22</f>
        <v>-75.5</v>
      </c>
      <c r="G31" s="54">
        <f>G23-($E23*G$22)/$E$22</f>
        <v>-11220</v>
      </c>
      <c r="Q31">
        <f>R$26*B5</f>
        <v>-1200</v>
      </c>
    </row>
    <row r="32" spans="4:20" ht="15.75" thickBot="1" x14ac:dyDescent="0.3">
      <c r="D32" s="15" t="s">
        <v>48</v>
      </c>
      <c r="E32" s="58">
        <f>-E24/$E$22</f>
        <v>-117.8</v>
      </c>
      <c r="F32" s="12">
        <f>F24-($E24*F$22)/$E$22</f>
        <v>468.2</v>
      </c>
      <c r="G32" s="1">
        <f>G24-($E24*G$22)/$E$22</f>
        <v>52880</v>
      </c>
      <c r="M32" s="15" t="s">
        <v>58</v>
      </c>
      <c r="N32" s="15" t="s">
        <v>59</v>
      </c>
      <c r="O32">
        <v>1</v>
      </c>
      <c r="Q32">
        <f>R$26*B6</f>
        <v>800</v>
      </c>
    </row>
    <row r="33" spans="4:17" x14ac:dyDescent="0.25">
      <c r="L33" s="15" t="s">
        <v>43</v>
      </c>
      <c r="M33" s="11">
        <v>3</v>
      </c>
      <c r="N33" s="22">
        <v>2</v>
      </c>
      <c r="O33" s="9">
        <v>1800</v>
      </c>
      <c r="Q33">
        <f>R$26*B7</f>
        <v>-800</v>
      </c>
    </row>
    <row r="34" spans="4:17" x14ac:dyDescent="0.25">
      <c r="D34" t="s">
        <v>63</v>
      </c>
      <c r="L34" s="15" t="s">
        <v>42</v>
      </c>
      <c r="M34" s="8">
        <v>-3</v>
      </c>
      <c r="N34" s="20">
        <v>-2</v>
      </c>
      <c r="O34" s="7">
        <v>-600</v>
      </c>
    </row>
    <row r="35" spans="4:17" x14ac:dyDescent="0.25">
      <c r="L35" s="15" t="s">
        <v>41</v>
      </c>
      <c r="M35" s="8">
        <v>2</v>
      </c>
      <c r="N35" s="20">
        <v>4</v>
      </c>
      <c r="O35" s="7">
        <v>800</v>
      </c>
    </row>
    <row r="36" spans="4:17" ht="15.75" thickBot="1" x14ac:dyDescent="0.3">
      <c r="D36" t="s">
        <v>55</v>
      </c>
      <c r="E36" s="31">
        <v>13.65</v>
      </c>
      <c r="F36" s="51">
        <v>-11220</v>
      </c>
      <c r="G36" s="15" t="s">
        <v>56</v>
      </c>
      <c r="H36">
        <f>E31*G32-E32*G31</f>
        <v>-599904</v>
      </c>
      <c r="I36" t="s">
        <v>62</v>
      </c>
      <c r="L36" s="15" t="s">
        <v>40</v>
      </c>
      <c r="M36" s="58">
        <v>-2</v>
      </c>
      <c r="N36" s="63">
        <v>-4</v>
      </c>
      <c r="O36" s="62">
        <v>-400</v>
      </c>
    </row>
    <row r="37" spans="4:17" ht="15.75" thickBot="1" x14ac:dyDescent="0.3">
      <c r="E37" s="25">
        <v>-117.8</v>
      </c>
      <c r="F37" s="49">
        <v>52880</v>
      </c>
      <c r="L37" s="15" t="s">
        <v>49</v>
      </c>
      <c r="M37" s="56">
        <v>27.3</v>
      </c>
      <c r="N37" s="57">
        <v>-20.9</v>
      </c>
      <c r="O37" s="54">
        <v>-5760</v>
      </c>
      <c r="Q37">
        <f>G45/G46</f>
        <v>-0.1668</v>
      </c>
    </row>
    <row r="38" spans="4:17" ht="15.75" thickBot="1" x14ac:dyDescent="0.3">
      <c r="D38" t="s">
        <v>54</v>
      </c>
      <c r="E38" s="31">
        <v>-75.5</v>
      </c>
      <c r="F38" s="51">
        <v>-11220</v>
      </c>
      <c r="G38" s="15" t="s">
        <v>56</v>
      </c>
      <c r="H38">
        <f>E38*F39-F38*E39</f>
        <v>1260764</v>
      </c>
      <c r="I38" t="s">
        <v>61</v>
      </c>
      <c r="L38" s="15" t="s">
        <v>48</v>
      </c>
      <c r="M38" s="13">
        <v>-235.6</v>
      </c>
      <c r="N38" s="19">
        <v>-3</v>
      </c>
      <c r="O38" s="1">
        <v>5760</v>
      </c>
    </row>
    <row r="39" spans="4:17" x14ac:dyDescent="0.25">
      <c r="E39" s="25">
        <v>468.2</v>
      </c>
      <c r="F39" s="49">
        <v>52880</v>
      </c>
      <c r="H39" t="s">
        <v>60</v>
      </c>
    </row>
    <row r="40" spans="4:17" ht="15.75" thickBot="1" x14ac:dyDescent="0.3">
      <c r="E40" s="15" t="s">
        <v>40</v>
      </c>
      <c r="F40" s="15" t="s">
        <v>59</v>
      </c>
      <c r="G40">
        <v>1</v>
      </c>
      <c r="M40" s="15" t="s">
        <v>58</v>
      </c>
      <c r="N40" s="15" t="s">
        <v>52</v>
      </c>
      <c r="O40">
        <v>1</v>
      </c>
    </row>
    <row r="41" spans="4:17" x14ac:dyDescent="0.25">
      <c r="D41" s="15" t="s">
        <v>43</v>
      </c>
      <c r="E41" s="11">
        <f>-E27</f>
        <v>-1.5</v>
      </c>
      <c r="F41" s="10">
        <f>F27-($E27*F$29)/$E$29</f>
        <v>-4</v>
      </c>
      <c r="G41" s="9">
        <f>G27-($E27*G$29)/$E$29</f>
        <v>600</v>
      </c>
      <c r="L41" s="15" t="s">
        <v>43</v>
      </c>
      <c r="M41" s="24">
        <f>M33-($N33*M$36)/$N$36</f>
        <v>2</v>
      </c>
      <c r="N41" s="10">
        <f>-N33/$N$36</f>
        <v>0.5</v>
      </c>
      <c r="O41" s="9">
        <f>O33-($N33*O$36)/$N$36</f>
        <v>1600</v>
      </c>
    </row>
    <row r="42" spans="4:17" x14ac:dyDescent="0.25">
      <c r="D42" s="15" t="s">
        <v>42</v>
      </c>
      <c r="E42" s="8">
        <f>-E28</f>
        <v>1.5</v>
      </c>
      <c r="F42">
        <f>F28-($E28*F$29)/$E$29</f>
        <v>4</v>
      </c>
      <c r="G42" s="7">
        <f>G28-($E28*G$29)/$E$29</f>
        <v>600</v>
      </c>
      <c r="L42" s="15" t="s">
        <v>42</v>
      </c>
      <c r="M42" s="61">
        <f>M34-($N34*M$36)/$N$36</f>
        <v>-2</v>
      </c>
      <c r="N42" s="20">
        <f>-N34/$N$36</f>
        <v>-0.5</v>
      </c>
      <c r="O42" s="26">
        <f>O34-($N34*O$36)/$N$36</f>
        <v>-400</v>
      </c>
    </row>
    <row r="43" spans="4:17" x14ac:dyDescent="0.25">
      <c r="D43" s="15" t="s">
        <v>41</v>
      </c>
      <c r="E43" s="8">
        <v>1</v>
      </c>
      <c r="F43">
        <v>0</v>
      </c>
      <c r="G43" s="7">
        <v>400</v>
      </c>
      <c r="L43" s="15" t="s">
        <v>41</v>
      </c>
      <c r="M43" s="28">
        <f>M35-($N35*M$36)/$N$36</f>
        <v>0</v>
      </c>
      <c r="N43">
        <f>-N35/$N$36</f>
        <v>1</v>
      </c>
      <c r="O43" s="7">
        <f>O35-($N35*O$36)/$N$36</f>
        <v>400</v>
      </c>
    </row>
    <row r="44" spans="4:17" ht="15.75" thickBot="1" x14ac:dyDescent="0.3">
      <c r="D44" s="15" t="s">
        <v>57</v>
      </c>
      <c r="E44" s="13">
        <f>-E30</f>
        <v>0.5</v>
      </c>
      <c r="F44" s="12">
        <f t="shared" ref="F44:G46" si="1">F30-($E30*F$29)/$E$29</f>
        <v>2</v>
      </c>
      <c r="G44" s="1">
        <f t="shared" si="1"/>
        <v>400</v>
      </c>
      <c r="L44" s="15" t="s">
        <v>50</v>
      </c>
      <c r="M44" s="58">
        <f>M36/$N$36</f>
        <v>0.5</v>
      </c>
      <c r="N44" s="12">
        <f>1/N36</f>
        <v>-0.25</v>
      </c>
      <c r="O44" s="1">
        <f>O36/$N$36</f>
        <v>100</v>
      </c>
    </row>
    <row r="45" spans="4:17" ht="15.75" thickBot="1" x14ac:dyDescent="0.3">
      <c r="D45" s="15" t="s">
        <v>49</v>
      </c>
      <c r="E45" s="56">
        <f>-E31</f>
        <v>-13.65</v>
      </c>
      <c r="F45" s="55">
        <f t="shared" si="1"/>
        <v>-75.5</v>
      </c>
      <c r="G45" s="54">
        <f t="shared" si="1"/>
        <v>-16680</v>
      </c>
      <c r="L45" s="15" t="s">
        <v>49</v>
      </c>
      <c r="M45" s="59">
        <f>M37-($N37*M$36)/$N$36</f>
        <v>37.75</v>
      </c>
      <c r="N45" s="55">
        <f>-N37/$N$36</f>
        <v>-5.2249999999999996</v>
      </c>
      <c r="O45" s="54">
        <f>O37-($N37*O$36)/$N$36</f>
        <v>-3670</v>
      </c>
    </row>
    <row r="46" spans="4:17" ht="15.75" thickBot="1" x14ac:dyDescent="0.3">
      <c r="D46" s="15" t="s">
        <v>48</v>
      </c>
      <c r="E46" s="13">
        <f>-E32</f>
        <v>117.8</v>
      </c>
      <c r="F46" s="12">
        <f t="shared" si="1"/>
        <v>468.2</v>
      </c>
      <c r="G46" s="1">
        <f t="shared" si="1"/>
        <v>100000</v>
      </c>
      <c r="L46" s="15" t="s">
        <v>48</v>
      </c>
      <c r="M46" s="58">
        <f>M38-($N38*M$36)/$N$36</f>
        <v>-234.1</v>
      </c>
      <c r="N46" s="12">
        <f>-N38/$N$36</f>
        <v>-0.75</v>
      </c>
      <c r="O46" s="1">
        <f>O38-($N38*O$36)/$N$36</f>
        <v>6060</v>
      </c>
    </row>
    <row r="48" spans="4:17" ht="15.75" thickBot="1" x14ac:dyDescent="0.3">
      <c r="D48" t="s">
        <v>55</v>
      </c>
      <c r="E48" s="31">
        <v>13.65</v>
      </c>
      <c r="F48" s="51">
        <v>-16680</v>
      </c>
      <c r="G48" s="15" t="s">
        <v>56</v>
      </c>
      <c r="H48">
        <f>E45*G46-E46*G45</f>
        <v>599904</v>
      </c>
      <c r="M48" s="15" t="s">
        <v>42</v>
      </c>
      <c r="N48" s="15" t="s">
        <v>52</v>
      </c>
      <c r="O48">
        <v>1</v>
      </c>
    </row>
    <row r="49" spans="4:15" x14ac:dyDescent="0.25">
      <c r="E49" s="25">
        <v>-117.8</v>
      </c>
      <c r="F49" s="49">
        <v>100000</v>
      </c>
      <c r="L49" s="15" t="s">
        <v>43</v>
      </c>
      <c r="M49" s="60">
        <f>-M41/$M$42</f>
        <v>1</v>
      </c>
      <c r="N49" s="22">
        <f>N41-($M41*N$42)/$M$42</f>
        <v>0</v>
      </c>
      <c r="O49" s="21">
        <f>O41-($M41*O$42)/$M$42</f>
        <v>1200</v>
      </c>
    </row>
    <row r="50" spans="4:15" x14ac:dyDescent="0.25">
      <c r="D50" t="s">
        <v>54</v>
      </c>
      <c r="E50" s="31">
        <v>-75.5</v>
      </c>
      <c r="F50" s="51">
        <v>-16680</v>
      </c>
      <c r="G50" s="15" t="s">
        <v>56</v>
      </c>
      <c r="H50">
        <f>E50*F51-F50*E51</f>
        <v>259576</v>
      </c>
      <c r="L50" s="15" t="s">
        <v>51</v>
      </c>
      <c r="M50" s="28">
        <f>1/M42</f>
        <v>-0.5</v>
      </c>
      <c r="N50">
        <f>N42/$M$42</f>
        <v>0.25</v>
      </c>
      <c r="O50" s="7">
        <f>O42/$M$42</f>
        <v>200</v>
      </c>
    </row>
    <row r="51" spans="4:15" x14ac:dyDescent="0.25">
      <c r="E51" s="25">
        <v>468.2</v>
      </c>
      <c r="F51" s="49">
        <v>100000</v>
      </c>
      <c r="L51" s="15" t="s">
        <v>41</v>
      </c>
      <c r="M51" s="28">
        <f>-M43/$M$42</f>
        <v>0</v>
      </c>
      <c r="N51">
        <f t="shared" ref="N51:O54" si="2">N43-($M43*N$42)/$M$42</f>
        <v>1</v>
      </c>
      <c r="O51" s="7">
        <f t="shared" si="2"/>
        <v>400</v>
      </c>
    </row>
    <row r="52" spans="4:15" ht="15.75" thickBot="1" x14ac:dyDescent="0.3">
      <c r="L52" s="15" t="s">
        <v>50</v>
      </c>
      <c r="M52" s="58">
        <f>-M44/$M$42</f>
        <v>0.25</v>
      </c>
      <c r="N52" s="12">
        <f t="shared" si="2"/>
        <v>-0.375</v>
      </c>
      <c r="O52" s="1">
        <f t="shared" si="2"/>
        <v>0</v>
      </c>
    </row>
    <row r="53" spans="4:15" ht="15.75" thickBot="1" x14ac:dyDescent="0.3">
      <c r="L53" s="15" t="s">
        <v>49</v>
      </c>
      <c r="M53" s="59">
        <f>-M45/$M$42</f>
        <v>18.875</v>
      </c>
      <c r="N53" s="55">
        <f t="shared" si="2"/>
        <v>-14.6625</v>
      </c>
      <c r="O53" s="54">
        <f t="shared" si="2"/>
        <v>-11220</v>
      </c>
    </row>
    <row r="54" spans="4:15" ht="15.75" thickBot="1" x14ac:dyDescent="0.3">
      <c r="L54" s="15" t="s">
        <v>48</v>
      </c>
      <c r="M54" s="58">
        <f>-M46/$M$42</f>
        <v>-117.05</v>
      </c>
      <c r="N54" s="12">
        <f t="shared" si="2"/>
        <v>57.774999999999999</v>
      </c>
      <c r="O54" s="1">
        <f t="shared" si="2"/>
        <v>52880</v>
      </c>
    </row>
    <row r="56" spans="4:15" x14ac:dyDescent="0.25">
      <c r="M56" t="s">
        <v>55</v>
      </c>
      <c r="N56">
        <f>M53*O54-M54*O53</f>
        <v>-315191</v>
      </c>
    </row>
    <row r="57" spans="4:15" x14ac:dyDescent="0.25">
      <c r="M57" t="s">
        <v>54</v>
      </c>
      <c r="N57">
        <f>N53*O54-O53*N54</f>
        <v>-127117.5</v>
      </c>
    </row>
    <row r="59" spans="4:15" ht="15.75" thickBot="1" x14ac:dyDescent="0.3">
      <c r="M59" s="15" t="s">
        <v>53</v>
      </c>
      <c r="N59" s="15" t="s">
        <v>52</v>
      </c>
      <c r="O59">
        <v>1</v>
      </c>
    </row>
    <row r="60" spans="4:15" x14ac:dyDescent="0.25">
      <c r="L60" s="15" t="s">
        <v>42</v>
      </c>
      <c r="M60" s="11">
        <v>1</v>
      </c>
      <c r="N60" s="22">
        <v>0</v>
      </c>
      <c r="O60" s="9">
        <v>1200</v>
      </c>
    </row>
    <row r="61" spans="4:15" x14ac:dyDescent="0.25">
      <c r="L61" s="15" t="s">
        <v>51</v>
      </c>
      <c r="M61" s="8">
        <f>-M50</f>
        <v>0.5</v>
      </c>
      <c r="N61" s="20">
        <f t="shared" ref="N61:O65" si="3">N50-($M50*N$49)/$M$49</f>
        <v>0.25</v>
      </c>
      <c r="O61" s="7">
        <f t="shared" si="3"/>
        <v>800</v>
      </c>
    </row>
    <row r="62" spans="4:15" x14ac:dyDescent="0.25">
      <c r="L62" s="15" t="s">
        <v>41</v>
      </c>
      <c r="M62" s="28">
        <f>-M51</f>
        <v>0</v>
      </c>
      <c r="N62" s="27">
        <f t="shared" si="3"/>
        <v>1</v>
      </c>
      <c r="O62" s="26">
        <f t="shared" si="3"/>
        <v>400</v>
      </c>
    </row>
    <row r="63" spans="4:15" ht="15.75" thickBot="1" x14ac:dyDescent="0.3">
      <c r="L63" s="15" t="s">
        <v>50</v>
      </c>
      <c r="M63" s="13">
        <f>-M52</f>
        <v>-0.25</v>
      </c>
      <c r="N63" s="19">
        <f t="shared" si="3"/>
        <v>-0.375</v>
      </c>
      <c r="O63" s="1">
        <f t="shared" si="3"/>
        <v>-300</v>
      </c>
    </row>
    <row r="64" spans="4:15" ht="15.75" thickBot="1" x14ac:dyDescent="0.3">
      <c r="L64" s="15" t="s">
        <v>49</v>
      </c>
      <c r="M64" s="56">
        <f>-M53</f>
        <v>-18.875</v>
      </c>
      <c r="N64" s="57">
        <f t="shared" si="3"/>
        <v>-14.6625</v>
      </c>
      <c r="O64" s="54">
        <f t="shared" si="3"/>
        <v>-33870</v>
      </c>
    </row>
    <row r="65" spans="12:15" ht="15.75" thickBot="1" x14ac:dyDescent="0.3">
      <c r="L65" s="15" t="s">
        <v>48</v>
      </c>
      <c r="M65" s="13">
        <f>-M54</f>
        <v>117.05</v>
      </c>
      <c r="N65" s="19">
        <f t="shared" si="3"/>
        <v>57.774999999999999</v>
      </c>
      <c r="O65" s="1">
        <f t="shared" si="3"/>
        <v>193340</v>
      </c>
    </row>
    <row r="67" spans="12:15" x14ac:dyDescent="0.25">
      <c r="M67" t="s">
        <v>55</v>
      </c>
      <c r="N67">
        <f>M64*O65-M65*O64</f>
        <v>315191</v>
      </c>
    </row>
    <row r="68" spans="12:15" x14ac:dyDescent="0.25">
      <c r="M68" t="s">
        <v>54</v>
      </c>
      <c r="N68">
        <f>N64*O65-O64*N65</f>
        <v>-878008.5</v>
      </c>
    </row>
    <row r="70" spans="12:15" ht="15.75" thickBot="1" x14ac:dyDescent="0.3">
      <c r="M70" s="15" t="s">
        <v>53</v>
      </c>
      <c r="N70" s="15" t="s">
        <v>52</v>
      </c>
      <c r="O70">
        <v>1</v>
      </c>
    </row>
    <row r="71" spans="12:15" x14ac:dyDescent="0.25">
      <c r="L71" s="15" t="s">
        <v>42</v>
      </c>
      <c r="M71" s="11">
        <f>M60-($N60*M$62)/$N$62</f>
        <v>1</v>
      </c>
      <c r="N71" s="10">
        <f>-N60</f>
        <v>0</v>
      </c>
      <c r="O71" s="9">
        <f>O60-($N60*O$62)/$N$62</f>
        <v>1200</v>
      </c>
    </row>
    <row r="72" spans="12:15" x14ac:dyDescent="0.25">
      <c r="L72" s="15" t="s">
        <v>51</v>
      </c>
      <c r="M72" s="8">
        <f>M61-($N61*M$62)/$N$62</f>
        <v>0.5</v>
      </c>
      <c r="N72">
        <f>-N61</f>
        <v>-0.25</v>
      </c>
      <c r="O72" s="7">
        <f>O61-($N61*O$62)/$N$62</f>
        <v>700</v>
      </c>
    </row>
    <row r="73" spans="12:15" x14ac:dyDescent="0.25">
      <c r="L73" s="15" t="s">
        <v>41</v>
      </c>
      <c r="M73" s="8">
        <v>0</v>
      </c>
      <c r="N73">
        <v>1</v>
      </c>
      <c r="O73" s="7">
        <v>400</v>
      </c>
    </row>
    <row r="74" spans="12:15" ht="15.75" thickBot="1" x14ac:dyDescent="0.3">
      <c r="L74" s="15" t="s">
        <v>50</v>
      </c>
      <c r="M74" s="13">
        <f>M63-($N63*M$62)/$N$62</f>
        <v>-0.25</v>
      </c>
      <c r="N74" s="12">
        <f>-N63</f>
        <v>0.375</v>
      </c>
      <c r="O74" s="1">
        <f>O63-($N63*O$62)/$N$62</f>
        <v>-150</v>
      </c>
    </row>
    <row r="75" spans="12:15" ht="15.75" thickBot="1" x14ac:dyDescent="0.3">
      <c r="L75" s="15" t="s">
        <v>49</v>
      </c>
      <c r="M75" s="56">
        <f>M64-($N64*M$62)/$N$62</f>
        <v>-18.875</v>
      </c>
      <c r="N75" s="55">
        <f>-N64</f>
        <v>14.6625</v>
      </c>
      <c r="O75" s="54">
        <f>O64-($N64*O$62)/$N$62</f>
        <v>-28005</v>
      </c>
    </row>
    <row r="76" spans="12:15" ht="15.75" thickBot="1" x14ac:dyDescent="0.3">
      <c r="L76" s="15" t="s">
        <v>48</v>
      </c>
      <c r="M76" s="13">
        <f>M65-($N65*M$62)/$N$62</f>
        <v>117.05</v>
      </c>
      <c r="N76" s="12">
        <f>-N65</f>
        <v>-57.774999999999999</v>
      </c>
      <c r="O76" s="1">
        <f>O65-($N65*O$62)/$N$62</f>
        <v>170230</v>
      </c>
    </row>
    <row r="78" spans="12:15" x14ac:dyDescent="0.25">
      <c r="M78" t="s">
        <v>55</v>
      </c>
      <c r="N78">
        <f>M75*O76-M76*O75</f>
        <v>64894</v>
      </c>
    </row>
    <row r="79" spans="12:15" x14ac:dyDescent="0.25">
      <c r="M79" t="s">
        <v>54</v>
      </c>
      <c r="N79">
        <f>N75*O76-O75*N76</f>
        <v>878008.5</v>
      </c>
    </row>
    <row r="81" spans="12:15" x14ac:dyDescent="0.25">
      <c r="M81" s="15" t="s">
        <v>53</v>
      </c>
      <c r="N81" s="15" t="s">
        <v>52</v>
      </c>
      <c r="O81">
        <v>1</v>
      </c>
    </row>
    <row r="82" spans="12:15" ht="15.75" thickBot="1" x14ac:dyDescent="0.3">
      <c r="L82" s="15" t="s">
        <v>42</v>
      </c>
      <c r="M82" s="12">
        <f>-M71/$M$74</f>
        <v>4</v>
      </c>
      <c r="N82" s="1">
        <f t="shared" ref="N82:O84" si="4">N71-($M71*N$74)/$M$74</f>
        <v>1.5</v>
      </c>
      <c r="O82" s="1">
        <f t="shared" si="4"/>
        <v>600</v>
      </c>
    </row>
    <row r="83" spans="12:15" ht="15.75" thickBot="1" x14ac:dyDescent="0.3">
      <c r="L83" s="15" t="s">
        <v>51</v>
      </c>
      <c r="M83" s="12">
        <f>-M72/$M$74</f>
        <v>2</v>
      </c>
      <c r="N83" s="1">
        <f t="shared" si="4"/>
        <v>0.5</v>
      </c>
      <c r="O83" s="1">
        <f t="shared" si="4"/>
        <v>400</v>
      </c>
    </row>
    <row r="84" spans="12:15" ht="15.75" thickBot="1" x14ac:dyDescent="0.3">
      <c r="L84" s="15" t="s">
        <v>41</v>
      </c>
      <c r="M84" s="12">
        <f>-M73/$M$74</f>
        <v>0</v>
      </c>
      <c r="N84" s="1">
        <f t="shared" si="4"/>
        <v>1</v>
      </c>
      <c r="O84" s="1">
        <f t="shared" si="4"/>
        <v>400</v>
      </c>
    </row>
    <row r="85" spans="12:15" ht="15.75" thickBot="1" x14ac:dyDescent="0.3">
      <c r="L85" s="15" t="s">
        <v>50</v>
      </c>
      <c r="M85" s="53">
        <f>1/M74</f>
        <v>-4</v>
      </c>
      <c r="N85" s="12">
        <f>N74/$M$74</f>
        <v>-1.5</v>
      </c>
      <c r="O85" s="12">
        <f>O74/$M$74</f>
        <v>600</v>
      </c>
    </row>
    <row r="86" spans="12:15" ht="15.75" thickBot="1" x14ac:dyDescent="0.3">
      <c r="L86" s="15" t="s">
        <v>49</v>
      </c>
      <c r="M86" s="12">
        <f>-M75/$M$74</f>
        <v>-75.5</v>
      </c>
      <c r="N86" s="1">
        <f>N75-($M75*N$74)/$M$74</f>
        <v>-13.65</v>
      </c>
      <c r="O86" s="1">
        <f>O75-($M75*O$74)/$M$74</f>
        <v>-16680</v>
      </c>
    </row>
    <row r="87" spans="12:15" ht="15.75" thickBot="1" x14ac:dyDescent="0.3">
      <c r="L87" s="15" t="s">
        <v>48</v>
      </c>
      <c r="M87" s="12">
        <f>-M76/$M$74</f>
        <v>468.2</v>
      </c>
      <c r="N87" s="1">
        <f>N76-($M76*N$74)/$M$74</f>
        <v>117.79999999999998</v>
      </c>
      <c r="O87" s="1">
        <f>O76-($M76*O$74)/$M$74</f>
        <v>100000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84"/>
  <sheetViews>
    <sheetView topLeftCell="B1" workbookViewId="0">
      <selection activeCell="AC18" sqref="AC18:AD18"/>
    </sheetView>
  </sheetViews>
  <sheetFormatPr defaultRowHeight="15" x14ac:dyDescent="0.25"/>
  <sheetData>
    <row r="1" spans="2:27" x14ac:dyDescent="0.25">
      <c r="B1" t="s">
        <v>83</v>
      </c>
    </row>
    <row r="2" spans="2:27" x14ac:dyDescent="0.25">
      <c r="B2" t="s">
        <v>33</v>
      </c>
      <c r="C2" t="s">
        <v>30</v>
      </c>
      <c r="D2" t="s">
        <v>32</v>
      </c>
      <c r="E2" t="s">
        <v>29</v>
      </c>
      <c r="N2" t="s">
        <v>33</v>
      </c>
      <c r="O2" t="s">
        <v>30</v>
      </c>
      <c r="P2" t="s">
        <v>32</v>
      </c>
      <c r="Q2" t="s">
        <v>29</v>
      </c>
    </row>
    <row r="3" spans="2:27" x14ac:dyDescent="0.25">
      <c r="B3">
        <v>154.78714285714261</v>
      </c>
      <c r="C3">
        <v>448.40428571428583</v>
      </c>
      <c r="D3">
        <v>1000</v>
      </c>
      <c r="E3">
        <v>500</v>
      </c>
      <c r="N3">
        <v>1000.0000000000002</v>
      </c>
      <c r="O3">
        <v>299.99999999999989</v>
      </c>
      <c r="P3">
        <v>1100.0000000000007</v>
      </c>
      <c r="Q3">
        <v>599.99999999999841</v>
      </c>
    </row>
    <row r="4" spans="2:27" x14ac:dyDescent="0.25">
      <c r="B4">
        <v>3</v>
      </c>
      <c r="C4">
        <v>2</v>
      </c>
      <c r="D4">
        <v>4</v>
      </c>
      <c r="E4">
        <v>3</v>
      </c>
      <c r="F4">
        <f t="shared" ref="F4:F9" si="0">SUMPRODUCT(B$3:E$3,B4:E4)</f>
        <v>6861.17</v>
      </c>
      <c r="G4">
        <v>6861.17</v>
      </c>
      <c r="N4">
        <v>1</v>
      </c>
      <c r="O4">
        <v>2</v>
      </c>
      <c r="P4">
        <v>5</v>
      </c>
      <c r="Q4">
        <v>3</v>
      </c>
      <c r="R4">
        <v>8899.9999999999982</v>
      </c>
      <c r="S4">
        <v>8900</v>
      </c>
    </row>
    <row r="5" spans="2:27" x14ac:dyDescent="0.25">
      <c r="B5">
        <v>3</v>
      </c>
      <c r="C5">
        <v>3</v>
      </c>
      <c r="F5">
        <f t="shared" si="0"/>
        <v>1809.5742857142855</v>
      </c>
      <c r="G5">
        <v>3500</v>
      </c>
      <c r="N5">
        <v>3</v>
      </c>
      <c r="O5">
        <v>4</v>
      </c>
      <c r="R5">
        <v>4200</v>
      </c>
      <c r="S5">
        <v>4200</v>
      </c>
    </row>
    <row r="6" spans="2:27" x14ac:dyDescent="0.25">
      <c r="B6">
        <v>1</v>
      </c>
      <c r="C6">
        <v>3</v>
      </c>
      <c r="F6">
        <f t="shared" si="0"/>
        <v>1500</v>
      </c>
      <c r="G6">
        <v>1500</v>
      </c>
      <c r="N6">
        <v>2</v>
      </c>
      <c r="O6">
        <v>3</v>
      </c>
      <c r="R6">
        <v>2900</v>
      </c>
      <c r="S6">
        <v>2900</v>
      </c>
      <c r="Y6">
        <v>51960</v>
      </c>
      <c r="Z6">
        <v>1600</v>
      </c>
      <c r="AA6">
        <v>2399.9999999999995</v>
      </c>
    </row>
    <row r="7" spans="2:27" x14ac:dyDescent="0.25">
      <c r="D7">
        <v>2</v>
      </c>
      <c r="E7">
        <v>3</v>
      </c>
      <c r="F7">
        <f t="shared" si="0"/>
        <v>3500</v>
      </c>
      <c r="G7">
        <v>3500</v>
      </c>
      <c r="P7">
        <v>2</v>
      </c>
      <c r="Q7">
        <v>1</v>
      </c>
      <c r="R7">
        <v>2800</v>
      </c>
      <c r="S7">
        <v>2800</v>
      </c>
      <c r="Y7">
        <v>39000</v>
      </c>
      <c r="Z7">
        <v>1600</v>
      </c>
      <c r="AA7">
        <v>0</v>
      </c>
    </row>
    <row r="8" spans="2:27" x14ac:dyDescent="0.25">
      <c r="D8">
        <v>4</v>
      </c>
      <c r="E8">
        <v>3</v>
      </c>
      <c r="F8">
        <f t="shared" si="0"/>
        <v>5500</v>
      </c>
      <c r="G8">
        <v>5500</v>
      </c>
      <c r="P8">
        <v>2</v>
      </c>
      <c r="Q8">
        <v>3</v>
      </c>
      <c r="R8">
        <v>3999.9999999999964</v>
      </c>
      <c r="S8">
        <v>4300</v>
      </c>
    </row>
    <row r="9" spans="2:27" x14ac:dyDescent="0.25">
      <c r="B9">
        <v>11</v>
      </c>
      <c r="C9">
        <v>19</v>
      </c>
      <c r="D9">
        <v>46</v>
      </c>
      <c r="E9">
        <v>42</v>
      </c>
      <c r="F9">
        <f t="shared" si="0"/>
        <v>77222.34</v>
      </c>
      <c r="N9">
        <v>27</v>
      </c>
      <c r="O9">
        <v>40</v>
      </c>
      <c r="P9">
        <v>27</v>
      </c>
      <c r="Q9">
        <v>15</v>
      </c>
      <c r="R9">
        <v>77699.999999999985</v>
      </c>
    </row>
    <row r="12" spans="2:27" x14ac:dyDescent="0.25">
      <c r="D12" t="s">
        <v>16</v>
      </c>
      <c r="E12" t="s">
        <v>22</v>
      </c>
      <c r="G12" t="s">
        <v>7</v>
      </c>
      <c r="K12" t="s">
        <v>16</v>
      </c>
      <c r="L12" t="s">
        <v>22</v>
      </c>
      <c r="N12" t="s">
        <v>7</v>
      </c>
    </row>
    <row r="13" spans="2:27" x14ac:dyDescent="0.25">
      <c r="D13" t="str">
        <f>"-X11"</f>
        <v>-X11</v>
      </c>
      <c r="E13" s="50" t="str">
        <f>"-X12"</f>
        <v>-X12</v>
      </c>
      <c r="F13">
        <v>1</v>
      </c>
      <c r="G13" t="s">
        <v>74</v>
      </c>
      <c r="K13" t="str">
        <f>"-X11"</f>
        <v>-X11</v>
      </c>
      <c r="L13" s="50" t="str">
        <f>"-X12"</f>
        <v>-X12</v>
      </c>
      <c r="M13">
        <v>1</v>
      </c>
      <c r="N13" t="s">
        <v>74</v>
      </c>
    </row>
    <row r="14" spans="2:27" x14ac:dyDescent="0.25">
      <c r="B14" t="s">
        <v>11</v>
      </c>
      <c r="C14" t="s">
        <v>82</v>
      </c>
      <c r="D14" s="71">
        <v>3</v>
      </c>
      <c r="E14" s="73">
        <v>2</v>
      </c>
      <c r="F14" s="72">
        <v>0</v>
      </c>
      <c r="G14" s="69">
        <v>1</v>
      </c>
      <c r="I14" t="s">
        <v>11</v>
      </c>
      <c r="J14" t="s">
        <v>82</v>
      </c>
      <c r="K14" s="71">
        <v>4</v>
      </c>
      <c r="L14" s="73">
        <v>3</v>
      </c>
      <c r="M14" s="72">
        <v>0</v>
      </c>
      <c r="N14" s="69">
        <v>1</v>
      </c>
    </row>
    <row r="15" spans="2:27" x14ac:dyDescent="0.25">
      <c r="B15" t="s">
        <v>73</v>
      </c>
      <c r="C15" t="s">
        <v>81</v>
      </c>
      <c r="D15" s="16">
        <v>3</v>
      </c>
      <c r="E15" s="65">
        <v>3</v>
      </c>
      <c r="F15">
        <v>3500</v>
      </c>
      <c r="G15" s="50">
        <v>0</v>
      </c>
      <c r="I15" t="s">
        <v>73</v>
      </c>
      <c r="J15" t="s">
        <v>81</v>
      </c>
      <c r="K15" s="16">
        <v>2</v>
      </c>
      <c r="L15" s="65">
        <v>3</v>
      </c>
      <c r="M15">
        <v>3500</v>
      </c>
      <c r="N15" s="50">
        <v>0</v>
      </c>
    </row>
    <row r="16" spans="2:27" x14ac:dyDescent="0.25">
      <c r="B16" t="s">
        <v>77</v>
      </c>
      <c r="C16" t="s">
        <v>78</v>
      </c>
      <c r="D16" s="25">
        <v>1</v>
      </c>
      <c r="E16" s="66">
        <v>3</v>
      </c>
      <c r="F16" s="5">
        <v>1500</v>
      </c>
      <c r="G16" s="49">
        <v>0</v>
      </c>
      <c r="I16" t="s">
        <v>77</v>
      </c>
      <c r="J16" t="s">
        <v>78</v>
      </c>
      <c r="K16" s="25">
        <v>4</v>
      </c>
      <c r="L16" s="66">
        <v>3</v>
      </c>
      <c r="M16" s="5">
        <v>5500</v>
      </c>
      <c r="N16" s="49">
        <v>0</v>
      </c>
    </row>
    <row r="17" spans="2:23" x14ac:dyDescent="0.25">
      <c r="B17">
        <v>1</v>
      </c>
      <c r="C17" t="s">
        <v>69</v>
      </c>
      <c r="D17">
        <v>-11</v>
      </c>
      <c r="E17" s="65">
        <v>-19</v>
      </c>
      <c r="F17">
        <v>0</v>
      </c>
      <c r="G17">
        <v>0</v>
      </c>
      <c r="I17">
        <v>1</v>
      </c>
      <c r="J17" t="s">
        <v>69</v>
      </c>
      <c r="K17">
        <v>-46</v>
      </c>
      <c r="L17" s="65">
        <v>-42</v>
      </c>
      <c r="M17">
        <v>0</v>
      </c>
      <c r="N17">
        <v>0</v>
      </c>
    </row>
    <row r="18" spans="2:23" x14ac:dyDescent="0.25">
      <c r="R18" s="159"/>
      <c r="S18" s="159"/>
      <c r="T18" s="159"/>
      <c r="U18" s="159"/>
      <c r="V18" s="159"/>
      <c r="W18" s="159"/>
    </row>
    <row r="19" spans="2:23" x14ac:dyDescent="0.25">
      <c r="D19" t="s">
        <v>16</v>
      </c>
      <c r="E19" t="s">
        <v>11</v>
      </c>
      <c r="G19" t="s">
        <v>7</v>
      </c>
      <c r="K19" t="s">
        <v>16</v>
      </c>
      <c r="L19" t="s">
        <v>80</v>
      </c>
      <c r="N19" t="s">
        <v>7</v>
      </c>
      <c r="R19" s="159"/>
      <c r="S19" s="159"/>
      <c r="T19" s="159"/>
      <c r="U19" s="159"/>
      <c r="V19" s="159"/>
      <c r="W19" s="159"/>
    </row>
    <row r="20" spans="2:23" x14ac:dyDescent="0.25">
      <c r="D20" t="str">
        <f>"-X11"</f>
        <v>-X11</v>
      </c>
      <c r="E20" s="50" t="s">
        <v>75</v>
      </c>
      <c r="F20">
        <v>1</v>
      </c>
      <c r="G20" t="s">
        <v>74</v>
      </c>
      <c r="K20" t="s">
        <v>10</v>
      </c>
      <c r="L20" s="50" t="s">
        <v>79</v>
      </c>
      <c r="M20">
        <v>1</v>
      </c>
      <c r="N20" t="s">
        <v>74</v>
      </c>
      <c r="R20" s="159"/>
      <c r="S20" s="159"/>
      <c r="T20" s="159"/>
      <c r="U20" s="159"/>
      <c r="V20" s="159"/>
      <c r="W20" s="159"/>
    </row>
    <row r="21" spans="2:23" x14ac:dyDescent="0.25">
      <c r="B21" t="s">
        <v>2</v>
      </c>
      <c r="C21" t="s">
        <v>1</v>
      </c>
      <c r="D21" s="71">
        <f>D14/$E$14</f>
        <v>1.5</v>
      </c>
      <c r="E21" s="51">
        <f>1/E14</f>
        <v>0.5</v>
      </c>
      <c r="F21" s="52">
        <f>F14/$E$14</f>
        <v>0</v>
      </c>
      <c r="G21" s="51">
        <f>G14/$E$14</f>
        <v>0.5</v>
      </c>
      <c r="I21" t="s">
        <v>2</v>
      </c>
      <c r="J21" t="s">
        <v>1</v>
      </c>
      <c r="K21" s="31">
        <f>K14/$L$14</f>
        <v>1.3333333333333333</v>
      </c>
      <c r="L21" s="69">
        <f>1/L14</f>
        <v>0.33333333333333331</v>
      </c>
      <c r="M21" s="52">
        <f>M14/$L$14</f>
        <v>0</v>
      </c>
      <c r="N21" s="51">
        <f>N14/$L$14</f>
        <v>0.33333333333333331</v>
      </c>
      <c r="R21" s="159"/>
      <c r="S21" s="159"/>
      <c r="T21" s="159"/>
      <c r="U21" s="159"/>
      <c r="V21" s="159"/>
      <c r="W21" s="159"/>
    </row>
    <row r="22" spans="2:23" x14ac:dyDescent="0.25">
      <c r="B22" t="s">
        <v>73</v>
      </c>
      <c r="C22" t="s">
        <v>81</v>
      </c>
      <c r="D22" s="30">
        <f>D15-$E15*D$14/$E$14</f>
        <v>-1.5</v>
      </c>
      <c r="E22" s="50">
        <f>-E15/$E$14</f>
        <v>-1.5</v>
      </c>
      <c r="F22">
        <f t="shared" ref="F22:G24" si="1">F15-$E15*F$14/$E$14</f>
        <v>3500</v>
      </c>
      <c r="G22" s="50">
        <f t="shared" si="1"/>
        <v>-1.5</v>
      </c>
      <c r="I22" t="s">
        <v>73</v>
      </c>
      <c r="J22" t="s">
        <v>81</v>
      </c>
      <c r="K22" s="30">
        <f>-K15/$K$14</f>
        <v>-0.5</v>
      </c>
      <c r="L22" s="68">
        <f>-L15/$L$14</f>
        <v>-1</v>
      </c>
      <c r="M22" s="20">
        <f t="shared" ref="M22:N24" si="2">M15-$L15*M$14/$L$14</f>
        <v>3500</v>
      </c>
      <c r="N22" s="65">
        <f t="shared" si="2"/>
        <v>-1</v>
      </c>
      <c r="R22" s="159"/>
      <c r="S22" s="159"/>
      <c r="T22" s="159"/>
      <c r="U22" s="159"/>
      <c r="V22" s="159"/>
      <c r="W22" s="159"/>
    </row>
    <row r="23" spans="2:23" x14ac:dyDescent="0.25">
      <c r="B23" t="s">
        <v>77</v>
      </c>
      <c r="C23" t="s">
        <v>78</v>
      </c>
      <c r="D23" s="70">
        <f>D16-$E16*D$14/$E$14</f>
        <v>-3.5</v>
      </c>
      <c r="E23" s="66">
        <f>-E16/$E$14</f>
        <v>-1.5</v>
      </c>
      <c r="F23" s="29">
        <f t="shared" si="1"/>
        <v>1500</v>
      </c>
      <c r="G23" s="66">
        <f t="shared" si="1"/>
        <v>-1.5</v>
      </c>
      <c r="I23" t="s">
        <v>77</v>
      </c>
      <c r="J23" t="s">
        <v>78</v>
      </c>
      <c r="K23" s="25">
        <f>K16-$L16*K$14/$L$14</f>
        <v>0</v>
      </c>
      <c r="L23" s="66">
        <f>-L16/$L$14</f>
        <v>-1</v>
      </c>
      <c r="M23" s="5">
        <f t="shared" si="2"/>
        <v>5500</v>
      </c>
      <c r="N23" s="49">
        <f t="shared" si="2"/>
        <v>-1</v>
      </c>
      <c r="R23" s="159"/>
      <c r="S23" s="159"/>
      <c r="T23" s="159"/>
      <c r="U23" s="159"/>
      <c r="V23" s="159"/>
      <c r="W23" s="159"/>
    </row>
    <row r="24" spans="2:23" x14ac:dyDescent="0.25">
      <c r="B24">
        <v>1</v>
      </c>
      <c r="C24" t="s">
        <v>69</v>
      </c>
      <c r="D24" s="20">
        <f>D17-$E17*D$14/$E$14</f>
        <v>17.5</v>
      </c>
      <c r="E24" s="50">
        <f>-E17/$E$14</f>
        <v>9.5</v>
      </c>
      <c r="F24">
        <f t="shared" si="1"/>
        <v>0</v>
      </c>
      <c r="G24">
        <f t="shared" si="1"/>
        <v>9.5</v>
      </c>
      <c r="I24">
        <v>1</v>
      </c>
      <c r="J24" t="s">
        <v>69</v>
      </c>
      <c r="K24">
        <f>K17-$L17*K$14/$L$14</f>
        <v>10</v>
      </c>
      <c r="L24" s="65">
        <f>-L17/$L$14</f>
        <v>14</v>
      </c>
      <c r="M24">
        <f t="shared" si="2"/>
        <v>0</v>
      </c>
      <c r="N24">
        <f t="shared" si="2"/>
        <v>14</v>
      </c>
      <c r="R24" s="159"/>
      <c r="S24" s="159"/>
      <c r="T24" s="159"/>
      <c r="U24" s="159"/>
      <c r="V24" s="159"/>
      <c r="W24" s="159"/>
    </row>
    <row r="26" spans="2:23" x14ac:dyDescent="0.25">
      <c r="D26" t="s">
        <v>77</v>
      </c>
      <c r="E26" s="50" t="s">
        <v>11</v>
      </c>
      <c r="G26" t="s">
        <v>7</v>
      </c>
      <c r="K26" t="s">
        <v>16</v>
      </c>
      <c r="L26" t="s">
        <v>73</v>
      </c>
      <c r="N26" t="s">
        <v>7</v>
      </c>
    </row>
    <row r="27" spans="2:23" x14ac:dyDescent="0.25">
      <c r="D27" s="31" t="s">
        <v>76</v>
      </c>
      <c r="E27" s="51" t="s">
        <v>75</v>
      </c>
      <c r="F27" s="52">
        <v>1</v>
      </c>
      <c r="G27" s="51" t="s">
        <v>74</v>
      </c>
      <c r="K27" t="s">
        <v>10</v>
      </c>
      <c r="L27" s="50" t="s">
        <v>72</v>
      </c>
      <c r="M27">
        <v>1</v>
      </c>
      <c r="N27" t="s">
        <v>74</v>
      </c>
    </row>
    <row r="28" spans="2:23" x14ac:dyDescent="0.25">
      <c r="B28" t="s">
        <v>2</v>
      </c>
      <c r="C28" t="s">
        <v>1</v>
      </c>
      <c r="D28" s="16">
        <f>-D21/$D$23</f>
        <v>0.42857142857142855</v>
      </c>
      <c r="E28" s="65">
        <f t="shared" ref="E28:G29" si="3">E21-$D21*E$23/$D$23</f>
        <v>-0.1428571428571429</v>
      </c>
      <c r="F28">
        <f t="shared" si="3"/>
        <v>642.85714285714289</v>
      </c>
      <c r="G28" s="50">
        <f t="shared" si="3"/>
        <v>-0.1428571428571429</v>
      </c>
      <c r="I28" t="s">
        <v>2</v>
      </c>
      <c r="J28" t="s">
        <v>1</v>
      </c>
      <c r="K28">
        <f>K21-$L21*K$22/$L$22</f>
        <v>1.1666666666666665</v>
      </c>
      <c r="L28" s="69">
        <v>0.33333333333333331</v>
      </c>
      <c r="M28">
        <f>M21-$L21*M$22/$L$22</f>
        <v>1166.6666666666665</v>
      </c>
      <c r="N28">
        <f>N21-$L21*N$22/$L$22</f>
        <v>0</v>
      </c>
    </row>
    <row r="29" spans="2:23" x14ac:dyDescent="0.25">
      <c r="B29" t="s">
        <v>73</v>
      </c>
      <c r="C29" t="s">
        <v>72</v>
      </c>
      <c r="D29" s="35">
        <f>-D22/$D$23</f>
        <v>-0.42857142857142855</v>
      </c>
      <c r="E29" s="67">
        <f t="shared" si="3"/>
        <v>-0.8571428571428571</v>
      </c>
      <c r="F29" s="29">
        <f t="shared" si="3"/>
        <v>2857.1428571428569</v>
      </c>
      <c r="G29" s="66">
        <f t="shared" si="3"/>
        <v>-0.8571428571428571</v>
      </c>
      <c r="I29" t="s">
        <v>80</v>
      </c>
      <c r="J29" t="s">
        <v>79</v>
      </c>
      <c r="K29" s="20">
        <f>-K22</f>
        <v>0.5</v>
      </c>
      <c r="L29" s="68">
        <v>-1</v>
      </c>
      <c r="M29" s="20">
        <f>-M22</f>
        <v>-3500</v>
      </c>
      <c r="N29" s="20">
        <f>-N22</f>
        <v>1</v>
      </c>
    </row>
    <row r="30" spans="2:23" x14ac:dyDescent="0.25">
      <c r="B30" t="s">
        <v>71</v>
      </c>
      <c r="C30" t="s">
        <v>70</v>
      </c>
      <c r="D30">
        <f>1/D23</f>
        <v>-0.2857142857142857</v>
      </c>
      <c r="E30" s="65">
        <f>E23/$D$23</f>
        <v>0.42857142857142855</v>
      </c>
      <c r="F30">
        <f>F23/$D$23</f>
        <v>-428.57142857142856</v>
      </c>
      <c r="G30">
        <f>G23/$D$23</f>
        <v>0.42857142857142855</v>
      </c>
      <c r="I30" t="s">
        <v>77</v>
      </c>
      <c r="J30" t="s">
        <v>78</v>
      </c>
      <c r="K30">
        <f>K23-$L23*K$22/$L$22</f>
        <v>0.5</v>
      </c>
      <c r="L30" s="66">
        <v>-1</v>
      </c>
      <c r="M30">
        <f>M23-$L23*M$22/$L$22</f>
        <v>2000</v>
      </c>
      <c r="N30">
        <f>N23-$L23*N$22/$L$22</f>
        <v>0</v>
      </c>
    </row>
    <row r="31" spans="2:23" x14ac:dyDescent="0.25">
      <c r="B31">
        <v>1</v>
      </c>
      <c r="C31" t="s">
        <v>69</v>
      </c>
      <c r="D31">
        <f>-D24/$D$23</f>
        <v>5</v>
      </c>
      <c r="E31" s="65">
        <f>E24-$D24*E$23/$D$23</f>
        <v>2</v>
      </c>
      <c r="F31">
        <f>F24-$D24*F$23/$D$23</f>
        <v>7500</v>
      </c>
      <c r="G31">
        <f>G24-$D24*G$23/$D$23</f>
        <v>2</v>
      </c>
      <c r="I31">
        <v>1</v>
      </c>
      <c r="J31" t="s">
        <v>69</v>
      </c>
      <c r="K31">
        <f>K24-$L24*K$22/$L$22</f>
        <v>3</v>
      </c>
      <c r="L31" s="65">
        <v>14</v>
      </c>
      <c r="M31">
        <f>M24-$L24*M$22/$L$22</f>
        <v>49000</v>
      </c>
      <c r="N31">
        <f>N24-$L24*N$22/$L$22</f>
        <v>0</v>
      </c>
    </row>
    <row r="33" spans="2:13" x14ac:dyDescent="0.25">
      <c r="D33" t="s">
        <v>77</v>
      </c>
      <c r="E33" s="50" t="s">
        <v>11</v>
      </c>
      <c r="G33" t="s">
        <v>7</v>
      </c>
    </row>
    <row r="34" spans="2:13" x14ac:dyDescent="0.25">
      <c r="D34" s="31" t="s">
        <v>76</v>
      </c>
      <c r="E34" s="51" t="s">
        <v>75</v>
      </c>
      <c r="F34" s="52">
        <v>1</v>
      </c>
      <c r="G34" s="51" t="s">
        <v>74</v>
      </c>
    </row>
    <row r="35" spans="2:13" x14ac:dyDescent="0.25">
      <c r="B35" t="s">
        <v>2</v>
      </c>
      <c r="C35" t="s">
        <v>1</v>
      </c>
      <c r="D35" s="16">
        <f>D28-$E28*D$29/$E$29</f>
        <v>0.5</v>
      </c>
      <c r="E35" s="65">
        <f>-E28/$E$29</f>
        <v>-0.16666666666666674</v>
      </c>
      <c r="F35">
        <f>F28-$E28*F$29/$E$29</f>
        <v>166.66666666666657</v>
      </c>
      <c r="G35" s="50">
        <f>G28-$E28*G$29/$E$29</f>
        <v>0</v>
      </c>
      <c r="L35">
        <v>0</v>
      </c>
      <c r="M35">
        <v>14</v>
      </c>
    </row>
    <row r="36" spans="2:13" x14ac:dyDescent="0.25">
      <c r="B36" t="s">
        <v>73</v>
      </c>
      <c r="C36" t="s">
        <v>72</v>
      </c>
      <c r="D36" s="35">
        <f>D29/$E$29</f>
        <v>0.5</v>
      </c>
      <c r="E36" s="67">
        <f>1/E29</f>
        <v>-1.1666666666666667</v>
      </c>
      <c r="F36" s="29">
        <f>F29/$E$29</f>
        <v>-3333.333333333333</v>
      </c>
      <c r="G36" s="66">
        <f>G29/$E$29</f>
        <v>1</v>
      </c>
      <c r="L36">
        <v>3500</v>
      </c>
      <c r="M36">
        <v>14</v>
      </c>
    </row>
    <row r="37" spans="2:13" x14ac:dyDescent="0.25">
      <c r="B37" t="s">
        <v>71</v>
      </c>
      <c r="C37" t="s">
        <v>70</v>
      </c>
      <c r="D37">
        <f>D30-$E30*D$29/$E$29</f>
        <v>-0.5</v>
      </c>
      <c r="E37" s="65">
        <f>-E30/$E$29</f>
        <v>0.5</v>
      </c>
      <c r="F37">
        <f>F30-$E30*F$29/$E$29</f>
        <v>999.99999999999989</v>
      </c>
      <c r="G37">
        <f>G30-$E30*G$29/$E$29</f>
        <v>0</v>
      </c>
      <c r="L37">
        <v>3500</v>
      </c>
      <c r="M37">
        <v>0</v>
      </c>
    </row>
    <row r="38" spans="2:13" x14ac:dyDescent="0.25">
      <c r="B38">
        <v>1</v>
      </c>
      <c r="C38" t="s">
        <v>69</v>
      </c>
      <c r="D38">
        <f>D31-$E31*D$29/$E$29</f>
        <v>4</v>
      </c>
      <c r="E38" s="65">
        <f>-E31/$E$29</f>
        <v>2.3333333333333335</v>
      </c>
      <c r="F38">
        <f>F31-$E31*F$29/$E$29</f>
        <v>14166.666666666666</v>
      </c>
      <c r="G38">
        <f>G31-$E31*G$29/$E$29</f>
        <v>0</v>
      </c>
      <c r="L38">
        <v>4000</v>
      </c>
      <c r="M38">
        <v>0</v>
      </c>
    </row>
    <row r="43" spans="2:13" x14ac:dyDescent="0.25">
      <c r="B43">
        <v>9.5</v>
      </c>
      <c r="C43">
        <v>9.5</v>
      </c>
      <c r="D43">
        <v>2</v>
      </c>
      <c r="E43">
        <v>2</v>
      </c>
      <c r="F43">
        <v>0</v>
      </c>
    </row>
    <row r="44" spans="2:13" x14ac:dyDescent="0.25">
      <c r="B44">
        <v>0</v>
      </c>
      <c r="C44">
        <v>1000</v>
      </c>
      <c r="D44">
        <v>1000</v>
      </c>
      <c r="E44">
        <v>3361.17</v>
      </c>
      <c r="F44">
        <v>3361.17</v>
      </c>
    </row>
    <row r="45" spans="2:13" x14ac:dyDescent="0.25">
      <c r="I45">
        <f>F38+M31</f>
        <v>63166.666666666664</v>
      </c>
    </row>
    <row r="47" spans="2:13" x14ac:dyDescent="0.25">
      <c r="C47">
        <v>0</v>
      </c>
      <c r="D47">
        <v>9.5</v>
      </c>
    </row>
    <row r="48" spans="2:13" x14ac:dyDescent="0.25">
      <c r="C48">
        <v>1000</v>
      </c>
      <c r="D48">
        <v>9.5</v>
      </c>
    </row>
    <row r="49" spans="3:4" x14ac:dyDescent="0.25">
      <c r="C49">
        <v>1000</v>
      </c>
      <c r="D49">
        <v>2</v>
      </c>
    </row>
    <row r="50" spans="3:4" x14ac:dyDescent="0.25">
      <c r="C50">
        <v>3361.17</v>
      </c>
      <c r="D50">
        <v>2</v>
      </c>
    </row>
    <row r="51" spans="3:4" x14ac:dyDescent="0.25">
      <c r="C51">
        <v>3361.17</v>
      </c>
      <c r="D51">
        <v>0</v>
      </c>
    </row>
    <row r="52" spans="3:4" x14ac:dyDescent="0.25">
      <c r="C52">
        <v>4000</v>
      </c>
      <c r="D52">
        <v>0</v>
      </c>
    </row>
    <row r="71" spans="11:12" x14ac:dyDescent="0.25">
      <c r="K71">
        <v>0</v>
      </c>
      <c r="L71">
        <v>14</v>
      </c>
    </row>
    <row r="72" spans="11:12" x14ac:dyDescent="0.25">
      <c r="K72">
        <v>3500</v>
      </c>
      <c r="L72">
        <v>14</v>
      </c>
    </row>
    <row r="73" spans="11:12" x14ac:dyDescent="0.25">
      <c r="K73">
        <v>3500</v>
      </c>
      <c r="L73">
        <v>9.5</v>
      </c>
    </row>
    <row r="74" spans="11:12" x14ac:dyDescent="0.25">
      <c r="K74">
        <f>K72+C48</f>
        <v>4500</v>
      </c>
      <c r="L74">
        <v>9.5</v>
      </c>
    </row>
    <row r="75" spans="11:12" x14ac:dyDescent="0.25">
      <c r="K75">
        <f>K73+C49</f>
        <v>4500</v>
      </c>
      <c r="L75">
        <v>2</v>
      </c>
    </row>
    <row r="76" spans="11:12" x14ac:dyDescent="0.25">
      <c r="K76">
        <f>C50+K74</f>
        <v>7861.17</v>
      </c>
      <c r="L76">
        <v>2</v>
      </c>
    </row>
    <row r="77" spans="11:12" x14ac:dyDescent="0.25">
      <c r="K77">
        <v>7861.17</v>
      </c>
      <c r="L77">
        <v>0</v>
      </c>
    </row>
    <row r="78" spans="11:12" x14ac:dyDescent="0.25">
      <c r="K78">
        <v>9000</v>
      </c>
      <c r="L78">
        <v>0</v>
      </c>
    </row>
    <row r="83" spans="11:12" x14ac:dyDescent="0.25">
      <c r="K83">
        <v>7861.17</v>
      </c>
      <c r="L83">
        <v>14</v>
      </c>
    </row>
    <row r="84" spans="11:12" x14ac:dyDescent="0.25">
      <c r="K84">
        <v>7861.17</v>
      </c>
      <c r="L84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2"/>
  <sheetViews>
    <sheetView workbookViewId="0">
      <selection activeCell="G122" sqref="G122"/>
    </sheetView>
  </sheetViews>
  <sheetFormatPr defaultRowHeight="15" x14ac:dyDescent="0.25"/>
  <sheetData>
    <row r="1" spans="1:17" x14ac:dyDescent="0.25">
      <c r="B1" t="s">
        <v>90</v>
      </c>
    </row>
    <row r="2" spans="1:17" x14ac:dyDescent="0.25">
      <c r="B2" t="s">
        <v>57</v>
      </c>
      <c r="C2" t="s">
        <v>50</v>
      </c>
    </row>
    <row r="3" spans="1:17" x14ac:dyDescent="0.25">
      <c r="B3">
        <v>6</v>
      </c>
      <c r="C3">
        <v>10</v>
      </c>
    </row>
    <row r="4" spans="1:17" x14ac:dyDescent="0.25">
      <c r="B4">
        <v>2</v>
      </c>
      <c r="C4">
        <v>2</v>
      </c>
      <c r="D4">
        <f>SUMPRODUCT(B$3:C$3,B4:C4)</f>
        <v>32</v>
      </c>
      <c r="E4">
        <v>33</v>
      </c>
    </row>
    <row r="5" spans="1:17" x14ac:dyDescent="0.25">
      <c r="B5">
        <v>3</v>
      </c>
      <c r="C5">
        <v>4</v>
      </c>
      <c r="D5">
        <f>SUMPRODUCT(B$3:C$3,B5:C5)</f>
        <v>58</v>
      </c>
      <c r="E5">
        <v>58</v>
      </c>
    </row>
    <row r="6" spans="1:17" x14ac:dyDescent="0.25">
      <c r="B6">
        <v>14</v>
      </c>
      <c r="C6">
        <v>18</v>
      </c>
      <c r="D6">
        <f>SUMPRODUCT(B$3:C$3,B6:C6)</f>
        <v>264</v>
      </c>
    </row>
    <row r="9" spans="1:17" x14ac:dyDescent="0.25">
      <c r="B9" s="15" t="s">
        <v>87</v>
      </c>
      <c r="C9" s="15" t="s">
        <v>86</v>
      </c>
      <c r="D9">
        <v>1</v>
      </c>
      <c r="I9" s="15" t="s">
        <v>87</v>
      </c>
      <c r="J9" s="15" t="s">
        <v>86</v>
      </c>
      <c r="K9">
        <v>1</v>
      </c>
      <c r="O9" s="15" t="s">
        <v>87</v>
      </c>
      <c r="P9" s="15" t="s">
        <v>86</v>
      </c>
      <c r="Q9">
        <v>1</v>
      </c>
    </row>
    <row r="10" spans="1:17" x14ac:dyDescent="0.25">
      <c r="A10" s="15" t="s">
        <v>43</v>
      </c>
      <c r="B10" s="74">
        <v>2</v>
      </c>
      <c r="C10" s="75">
        <v>2</v>
      </c>
      <c r="D10" s="74">
        <v>33</v>
      </c>
      <c r="H10" s="15" t="s">
        <v>43</v>
      </c>
      <c r="I10" s="74">
        <v>2</v>
      </c>
      <c r="J10" s="74">
        <v>2</v>
      </c>
      <c r="K10" s="74">
        <v>33</v>
      </c>
      <c r="N10" s="15" t="s">
        <v>43</v>
      </c>
      <c r="O10" s="74">
        <v>2</v>
      </c>
      <c r="P10" s="74">
        <v>2</v>
      </c>
      <c r="Q10" s="74">
        <v>33</v>
      </c>
    </row>
    <row r="11" spans="1:17" x14ac:dyDescent="0.25">
      <c r="A11" s="15" t="s">
        <v>42</v>
      </c>
      <c r="B11" s="74">
        <v>3</v>
      </c>
      <c r="C11" s="74">
        <v>4</v>
      </c>
      <c r="D11" s="74">
        <v>58</v>
      </c>
      <c r="H11" s="15" t="s">
        <v>42</v>
      </c>
      <c r="I11" s="74">
        <v>3</v>
      </c>
      <c r="J11" s="74">
        <v>4</v>
      </c>
      <c r="K11" s="74">
        <v>58</v>
      </c>
      <c r="N11" s="15" t="s">
        <v>42</v>
      </c>
      <c r="O11" s="74">
        <v>3</v>
      </c>
      <c r="P11" s="74">
        <v>4</v>
      </c>
      <c r="Q11" s="74">
        <v>58</v>
      </c>
    </row>
    <row r="12" spans="1:17" x14ac:dyDescent="0.25">
      <c r="A12" t="s">
        <v>84</v>
      </c>
      <c r="B12" s="74">
        <v>-14</v>
      </c>
      <c r="C12" s="74">
        <v>-18</v>
      </c>
      <c r="D12" s="74">
        <v>0</v>
      </c>
      <c r="H12" t="s">
        <v>41</v>
      </c>
      <c r="I12">
        <v>0</v>
      </c>
      <c r="J12" s="27">
        <v>1</v>
      </c>
      <c r="K12">
        <v>8</v>
      </c>
      <c r="N12" t="s">
        <v>41</v>
      </c>
      <c r="O12" s="27">
        <v>1</v>
      </c>
      <c r="P12">
        <v>0</v>
      </c>
      <c r="Q12">
        <v>8</v>
      </c>
    </row>
    <row r="13" spans="1:17" x14ac:dyDescent="0.25">
      <c r="H13" t="s">
        <v>84</v>
      </c>
      <c r="I13" s="74">
        <v>-14</v>
      </c>
      <c r="J13" s="74">
        <v>-18</v>
      </c>
      <c r="K13" s="74">
        <v>0</v>
      </c>
      <c r="N13" t="s">
        <v>84</v>
      </c>
      <c r="O13" s="74">
        <v>-14</v>
      </c>
      <c r="P13" s="74">
        <v>-18</v>
      </c>
      <c r="Q13" s="74">
        <v>0</v>
      </c>
    </row>
    <row r="14" spans="1:17" x14ac:dyDescent="0.25">
      <c r="B14" s="15" t="s">
        <v>87</v>
      </c>
      <c r="C14" s="15" t="s">
        <v>86</v>
      </c>
      <c r="D14">
        <v>1</v>
      </c>
    </row>
    <row r="15" spans="1:17" x14ac:dyDescent="0.25">
      <c r="A15" s="15" t="s">
        <v>43</v>
      </c>
      <c r="B15" s="74">
        <f>B10/$C$10</f>
        <v>1</v>
      </c>
      <c r="C15" s="74">
        <f>1/C10</f>
        <v>0.5</v>
      </c>
      <c r="D15" s="74">
        <f>D10/$C$10</f>
        <v>16.5</v>
      </c>
      <c r="I15" s="15" t="s">
        <v>87</v>
      </c>
      <c r="J15" s="15" t="s">
        <v>86</v>
      </c>
      <c r="K15">
        <v>1</v>
      </c>
      <c r="O15" s="15" t="s">
        <v>87</v>
      </c>
      <c r="P15" s="15" t="s">
        <v>86</v>
      </c>
      <c r="Q15">
        <v>1</v>
      </c>
    </row>
    <row r="16" spans="1:17" x14ac:dyDescent="0.25">
      <c r="A16" s="15" t="s">
        <v>42</v>
      </c>
      <c r="B16" s="75">
        <f>B11-B$10*$C11/$C$10</f>
        <v>-1</v>
      </c>
      <c r="C16" s="74">
        <f>-C11/$C$10</f>
        <v>-2</v>
      </c>
      <c r="D16" s="74">
        <f>D11-D$10*$C11/$C$10</f>
        <v>-8</v>
      </c>
      <c r="H16" s="15" t="s">
        <v>43</v>
      </c>
      <c r="I16" s="75">
        <f>I10-I$12*$J10/$J$12</f>
        <v>2</v>
      </c>
      <c r="J16" s="74">
        <f>-J10</f>
        <v>-2</v>
      </c>
      <c r="K16" s="74">
        <f>K10-K$12*$J10/$J$12</f>
        <v>17</v>
      </c>
      <c r="N16" s="15" t="s">
        <v>43</v>
      </c>
      <c r="O16" s="74">
        <v>-2</v>
      </c>
      <c r="P16" s="74">
        <v>2</v>
      </c>
      <c r="Q16" s="74">
        <v>17</v>
      </c>
    </row>
    <row r="17" spans="1:17" x14ac:dyDescent="0.25">
      <c r="A17" t="s">
        <v>84</v>
      </c>
      <c r="B17" s="74">
        <f>B12-B$10*$C12/$C$10</f>
        <v>4</v>
      </c>
      <c r="C17" s="74">
        <f>-C12/$C$10</f>
        <v>9</v>
      </c>
      <c r="D17" s="74">
        <f>D12-D$10*$C12/$C$10</f>
        <v>297</v>
      </c>
      <c r="H17" s="15" t="s">
        <v>42</v>
      </c>
      <c r="I17" s="74">
        <f>I11-I$12*$J11/$J$12</f>
        <v>3</v>
      </c>
      <c r="J17" s="74">
        <f>-J11</f>
        <v>-4</v>
      </c>
      <c r="K17" s="74">
        <f>K11-K$12*$J11/$J$12</f>
        <v>26</v>
      </c>
      <c r="N17" s="15" t="s">
        <v>42</v>
      </c>
      <c r="O17" s="74">
        <v>-3</v>
      </c>
      <c r="P17" s="75">
        <v>4</v>
      </c>
      <c r="Q17" s="74">
        <v>34</v>
      </c>
    </row>
    <row r="18" spans="1:17" x14ac:dyDescent="0.25">
      <c r="H18" t="s">
        <v>41</v>
      </c>
      <c r="I18">
        <v>0</v>
      </c>
      <c r="J18">
        <v>1</v>
      </c>
      <c r="K18">
        <v>8</v>
      </c>
      <c r="N18" t="s">
        <v>41</v>
      </c>
      <c r="O18">
        <v>1</v>
      </c>
      <c r="P18">
        <v>0</v>
      </c>
      <c r="Q18">
        <v>8</v>
      </c>
    </row>
    <row r="19" spans="1:17" x14ac:dyDescent="0.25">
      <c r="B19" s="15" t="s">
        <v>42</v>
      </c>
      <c r="C19" s="15" t="s">
        <v>43</v>
      </c>
      <c r="D19">
        <v>1</v>
      </c>
      <c r="H19" t="s">
        <v>84</v>
      </c>
      <c r="I19" s="74">
        <f>I13-I$12*$J13/$J$12</f>
        <v>-14</v>
      </c>
      <c r="J19" s="74">
        <f>-J13</f>
        <v>18</v>
      </c>
      <c r="K19" s="74">
        <f>K13-K$12*$J13/$J$12</f>
        <v>144</v>
      </c>
      <c r="N19" t="s">
        <v>84</v>
      </c>
      <c r="O19" s="74">
        <v>14</v>
      </c>
      <c r="P19" s="74">
        <v>-18</v>
      </c>
      <c r="Q19" s="74">
        <v>112</v>
      </c>
    </row>
    <row r="20" spans="1:17" x14ac:dyDescent="0.25">
      <c r="A20" s="15" t="s">
        <v>89</v>
      </c>
      <c r="B20">
        <v>1</v>
      </c>
      <c r="C20">
        <f>C15-C$16*$B15/$B$16</f>
        <v>-1.5</v>
      </c>
      <c r="D20" s="74">
        <f>D15-D$16*$B15/$B$16</f>
        <v>8.5</v>
      </c>
    </row>
    <row r="21" spans="1:17" x14ac:dyDescent="0.25">
      <c r="A21" s="15" t="s">
        <v>51</v>
      </c>
      <c r="B21" s="27">
        <v>-1</v>
      </c>
      <c r="C21">
        <f>-C16</f>
        <v>2</v>
      </c>
      <c r="D21" s="74">
        <f>-D16</f>
        <v>8</v>
      </c>
      <c r="I21" s="15" t="s">
        <v>43</v>
      </c>
      <c r="J21" s="15" t="s">
        <v>41</v>
      </c>
      <c r="K21">
        <v>1</v>
      </c>
      <c r="O21" s="15" t="s">
        <v>87</v>
      </c>
      <c r="P21" s="15" t="s">
        <v>86</v>
      </c>
      <c r="Q21">
        <v>1</v>
      </c>
    </row>
    <row r="22" spans="1:17" x14ac:dyDescent="0.25">
      <c r="A22" t="s">
        <v>84</v>
      </c>
      <c r="B22">
        <v>4</v>
      </c>
      <c r="C22">
        <f>C17-C$16*$B17/$B$16</f>
        <v>1</v>
      </c>
      <c r="D22" s="74">
        <f>D17-D$16*$B17/$B$16</f>
        <v>265</v>
      </c>
      <c r="H22" s="15" t="s">
        <v>57</v>
      </c>
      <c r="I22" s="75">
        <f>1/I16</f>
        <v>0.5</v>
      </c>
      <c r="J22" s="74">
        <f>J16/$I$16</f>
        <v>-1</v>
      </c>
      <c r="K22" s="74">
        <f>K16/$I$16</f>
        <v>8.5</v>
      </c>
      <c r="N22" s="15" t="s">
        <v>43</v>
      </c>
      <c r="O22" s="74">
        <v>-0.5</v>
      </c>
      <c r="P22" s="74">
        <v>-0.5</v>
      </c>
      <c r="Q22" s="74">
        <v>0</v>
      </c>
    </row>
    <row r="23" spans="1:17" x14ac:dyDescent="0.25">
      <c r="H23" s="15" t="s">
        <v>42</v>
      </c>
      <c r="I23" s="74">
        <f>-I17/$I$16</f>
        <v>-1.5</v>
      </c>
      <c r="J23" s="74">
        <v>-4</v>
      </c>
      <c r="K23" s="74">
        <v>26</v>
      </c>
      <c r="N23" s="15" t="s">
        <v>42</v>
      </c>
      <c r="O23" s="74">
        <v>-0.75</v>
      </c>
      <c r="P23" s="75">
        <v>0.25</v>
      </c>
      <c r="Q23" s="74">
        <v>8.5</v>
      </c>
    </row>
    <row r="24" spans="1:17" x14ac:dyDescent="0.25">
      <c r="H24" t="s">
        <v>50</v>
      </c>
      <c r="I24" s="74">
        <f>-I18/$I$16</f>
        <v>0</v>
      </c>
      <c r="J24" s="74">
        <f>J18-J$16*$I18/$I$16</f>
        <v>1</v>
      </c>
      <c r="K24" s="74">
        <f>K18-K$16*$I18/$I$16</f>
        <v>8</v>
      </c>
      <c r="N24" t="s">
        <v>41</v>
      </c>
      <c r="O24" s="74">
        <v>1</v>
      </c>
      <c r="P24" s="74">
        <v>0</v>
      </c>
      <c r="Q24" s="74">
        <v>8</v>
      </c>
    </row>
    <row r="25" spans="1:17" x14ac:dyDescent="0.25">
      <c r="H25" t="s">
        <v>84</v>
      </c>
      <c r="I25" s="74">
        <f>-I19/$I$16</f>
        <v>7</v>
      </c>
      <c r="J25" s="74">
        <f>J19-J$16*$I19/$I$16</f>
        <v>4</v>
      </c>
      <c r="K25" s="74">
        <f>K19-K$16*$I19/$I$16</f>
        <v>263</v>
      </c>
      <c r="N25" t="s">
        <v>84</v>
      </c>
      <c r="O25" s="74">
        <v>0.5</v>
      </c>
      <c r="P25" s="74">
        <v>4.5</v>
      </c>
      <c r="Q25" s="74">
        <v>265</v>
      </c>
    </row>
    <row r="31" spans="1:17" x14ac:dyDescent="0.25">
      <c r="E31" s="15" t="s">
        <v>87</v>
      </c>
      <c r="F31" s="15" t="s">
        <v>86</v>
      </c>
      <c r="G31">
        <v>1</v>
      </c>
      <c r="N31" t="s">
        <v>87</v>
      </c>
      <c r="O31" t="s">
        <v>86</v>
      </c>
      <c r="P31">
        <v>1</v>
      </c>
    </row>
    <row r="32" spans="1:17" x14ac:dyDescent="0.25">
      <c r="D32" s="15" t="s">
        <v>43</v>
      </c>
      <c r="E32" s="74">
        <v>2</v>
      </c>
      <c r="F32" s="74">
        <v>2</v>
      </c>
      <c r="G32" s="74">
        <v>33</v>
      </c>
      <c r="M32" t="s">
        <v>43</v>
      </c>
      <c r="N32">
        <v>2</v>
      </c>
      <c r="O32">
        <v>2</v>
      </c>
      <c r="P32">
        <v>33</v>
      </c>
    </row>
    <row r="33" spans="4:16" x14ac:dyDescent="0.25">
      <c r="D33" s="15" t="s">
        <v>42</v>
      </c>
      <c r="E33" s="74">
        <v>3</v>
      </c>
      <c r="F33" s="74">
        <v>4</v>
      </c>
      <c r="G33" s="74">
        <v>58</v>
      </c>
      <c r="M33" t="s">
        <v>42</v>
      </c>
      <c r="N33">
        <v>3</v>
      </c>
      <c r="O33">
        <v>4</v>
      </c>
      <c r="P33">
        <v>58</v>
      </c>
    </row>
    <row r="34" spans="4:16" x14ac:dyDescent="0.25">
      <c r="D34" t="s">
        <v>41</v>
      </c>
      <c r="E34">
        <v>0</v>
      </c>
      <c r="F34" s="27">
        <v>-1</v>
      </c>
      <c r="G34">
        <v>-9</v>
      </c>
      <c r="M34" t="s">
        <v>41</v>
      </c>
      <c r="N34">
        <v>0</v>
      </c>
      <c r="O34">
        <v>-1</v>
      </c>
      <c r="P34">
        <v>-9</v>
      </c>
    </row>
    <row r="35" spans="4:16" x14ac:dyDescent="0.25">
      <c r="D35" t="s">
        <v>84</v>
      </c>
      <c r="E35" s="74">
        <v>-14</v>
      </c>
      <c r="F35" s="74">
        <v>-18</v>
      </c>
      <c r="G35" s="74">
        <v>0</v>
      </c>
      <c r="M35" t="s">
        <v>40</v>
      </c>
      <c r="N35" s="27">
        <v>-1</v>
      </c>
      <c r="O35">
        <v>0</v>
      </c>
      <c r="P35">
        <v>-7</v>
      </c>
    </row>
    <row r="36" spans="4:16" x14ac:dyDescent="0.25">
      <c r="M36" t="s">
        <v>84</v>
      </c>
      <c r="N36">
        <v>-14</v>
      </c>
      <c r="O36">
        <v>-18</v>
      </c>
      <c r="P36">
        <v>0</v>
      </c>
    </row>
    <row r="37" spans="4:16" x14ac:dyDescent="0.25">
      <c r="E37" s="15" t="s">
        <v>87</v>
      </c>
      <c r="F37" s="15" t="s">
        <v>86</v>
      </c>
      <c r="G37">
        <v>1</v>
      </c>
    </row>
    <row r="38" spans="4:16" x14ac:dyDescent="0.25">
      <c r="D38" s="15" t="s">
        <v>43</v>
      </c>
      <c r="E38" s="74">
        <f>E32-E$34*$F32/$F$34</f>
        <v>2</v>
      </c>
      <c r="F38" s="74">
        <v>2</v>
      </c>
      <c r="G38" s="74">
        <f>G32-G$34*$F32/$F$34</f>
        <v>15</v>
      </c>
      <c r="N38" t="s">
        <v>87</v>
      </c>
      <c r="O38" t="s">
        <v>86</v>
      </c>
      <c r="P38">
        <v>1</v>
      </c>
    </row>
    <row r="39" spans="4:16" x14ac:dyDescent="0.25">
      <c r="D39" s="15" t="s">
        <v>42</v>
      </c>
      <c r="E39" s="75">
        <f>E33-E$34*$F33/$F$34</f>
        <v>3</v>
      </c>
      <c r="F39" s="74">
        <v>4</v>
      </c>
      <c r="G39" s="74">
        <f>G33-G$34*$F33/$F$34</f>
        <v>22</v>
      </c>
      <c r="M39" t="s">
        <v>43</v>
      </c>
      <c r="N39">
        <v>2</v>
      </c>
      <c r="O39" s="74">
        <f t="shared" ref="O39:P41" si="0">O32-O$35*$N32/$N$35</f>
        <v>2</v>
      </c>
      <c r="P39" s="74">
        <f t="shared" si="0"/>
        <v>19</v>
      </c>
    </row>
    <row r="40" spans="4:16" x14ac:dyDescent="0.25">
      <c r="D40" t="s">
        <v>41</v>
      </c>
      <c r="E40">
        <v>0</v>
      </c>
      <c r="F40">
        <v>-1</v>
      </c>
      <c r="G40">
        <f>G34/F34</f>
        <v>9</v>
      </c>
      <c r="M40" t="s">
        <v>42</v>
      </c>
      <c r="N40">
        <v>3</v>
      </c>
      <c r="O40" s="74">
        <f t="shared" si="0"/>
        <v>4</v>
      </c>
      <c r="P40" s="74">
        <f t="shared" si="0"/>
        <v>37</v>
      </c>
    </row>
    <row r="41" spans="4:16" x14ac:dyDescent="0.25">
      <c r="D41" t="s">
        <v>84</v>
      </c>
      <c r="E41" s="74">
        <f>E35-E$34*$F35/$F$34</f>
        <v>-14</v>
      </c>
      <c r="F41" s="74">
        <v>-18</v>
      </c>
      <c r="G41" s="74">
        <f>G35-G$34*$F35/$F$34</f>
        <v>162</v>
      </c>
      <c r="M41" t="s">
        <v>41</v>
      </c>
      <c r="N41">
        <v>0</v>
      </c>
      <c r="O41" s="75">
        <f t="shared" si="0"/>
        <v>-1</v>
      </c>
      <c r="P41" s="74">
        <f t="shared" si="0"/>
        <v>-9</v>
      </c>
    </row>
    <row r="42" spans="4:16" x14ac:dyDescent="0.25">
      <c r="M42" t="s">
        <v>40</v>
      </c>
      <c r="N42">
        <v>-1</v>
      </c>
      <c r="O42">
        <v>0</v>
      </c>
      <c r="P42">
        <v>7</v>
      </c>
    </row>
    <row r="43" spans="4:16" x14ac:dyDescent="0.25">
      <c r="E43" t="s">
        <v>42</v>
      </c>
      <c r="F43" t="s">
        <v>41</v>
      </c>
      <c r="G43">
        <v>1</v>
      </c>
      <c r="M43" t="s">
        <v>84</v>
      </c>
      <c r="N43">
        <v>-14</v>
      </c>
      <c r="O43" s="74">
        <f>O36-O$35*$N36/$N$35</f>
        <v>-18</v>
      </c>
      <c r="P43" s="74">
        <f>P36-P$35*$N36/$N$35</f>
        <v>98</v>
      </c>
    </row>
    <row r="44" spans="4:16" x14ac:dyDescent="0.25">
      <c r="D44" t="s">
        <v>43</v>
      </c>
      <c r="E44">
        <f>-E38/$E$39</f>
        <v>-0.66666666666666663</v>
      </c>
      <c r="F44" s="74">
        <f>F38-F$39*$E38/$E$39</f>
        <v>-0.66666666666666652</v>
      </c>
      <c r="G44" s="74">
        <f>G38-G$39*$E38/$E$39</f>
        <v>0.33333333333333393</v>
      </c>
      <c r="P44" s="74"/>
    </row>
    <row r="45" spans="4:16" x14ac:dyDescent="0.25">
      <c r="D45" t="s">
        <v>57</v>
      </c>
      <c r="E45">
        <f>1/E39</f>
        <v>0.33333333333333331</v>
      </c>
      <c r="F45">
        <f>F39/$E$39</f>
        <v>1.3333333333333333</v>
      </c>
      <c r="G45">
        <f>G39/$E$39</f>
        <v>7.333333333333333</v>
      </c>
    </row>
    <row r="46" spans="4:16" x14ac:dyDescent="0.25">
      <c r="D46" t="s">
        <v>50</v>
      </c>
      <c r="E46">
        <f>-E40/$E$39</f>
        <v>0</v>
      </c>
      <c r="F46" s="74">
        <f>F40-F$39*$E40/$E$39</f>
        <v>-1</v>
      </c>
      <c r="G46" s="74">
        <f>G40-G$39*$E40/$E$39</f>
        <v>9</v>
      </c>
      <c r="N46" t="s">
        <v>41</v>
      </c>
      <c r="O46" t="s">
        <v>40</v>
      </c>
      <c r="P46">
        <v>1</v>
      </c>
    </row>
    <row r="47" spans="4:16" x14ac:dyDescent="0.25">
      <c r="D47" t="s">
        <v>84</v>
      </c>
      <c r="E47">
        <f>-E41/$E$39</f>
        <v>4.666666666666667</v>
      </c>
      <c r="F47" s="74">
        <f>F41-F$39*$E41/$E$39</f>
        <v>0.66666666666666785</v>
      </c>
      <c r="G47" s="74">
        <f>G41-G$39*$E41/$E$39</f>
        <v>264.66666666666669</v>
      </c>
      <c r="M47" t="s">
        <v>43</v>
      </c>
      <c r="N47" s="74">
        <f>N39-N$41*$O39/$O$41</f>
        <v>2</v>
      </c>
      <c r="O47" s="74">
        <v>2</v>
      </c>
      <c r="P47" s="74">
        <f>P39-P$41*$O39/$O$41</f>
        <v>1</v>
      </c>
    </row>
    <row r="48" spans="4:16" x14ac:dyDescent="0.25">
      <c r="M48" t="s">
        <v>42</v>
      </c>
      <c r="N48" s="74">
        <f>N40-N$41*$O40/$O$41</f>
        <v>3</v>
      </c>
      <c r="O48" s="74">
        <v>4</v>
      </c>
      <c r="P48" s="74">
        <f>P40-P$41*$O40/$O$41</f>
        <v>1</v>
      </c>
    </row>
    <row r="49" spans="2:16" x14ac:dyDescent="0.25">
      <c r="M49" t="s">
        <v>50</v>
      </c>
      <c r="N49">
        <v>0</v>
      </c>
      <c r="O49" s="75">
        <v>-1</v>
      </c>
      <c r="P49" s="74">
        <v>9</v>
      </c>
    </row>
    <row r="50" spans="2:16" x14ac:dyDescent="0.25">
      <c r="C50" s="15" t="s">
        <v>87</v>
      </c>
      <c r="D50" s="15" t="s">
        <v>86</v>
      </c>
      <c r="E50">
        <v>1</v>
      </c>
      <c r="H50" t="s">
        <v>87</v>
      </c>
      <c r="I50" t="s">
        <v>86</v>
      </c>
      <c r="J50">
        <v>1</v>
      </c>
      <c r="M50" t="s">
        <v>57</v>
      </c>
      <c r="N50" s="74">
        <f>N42-N$41*$O42/$O$41</f>
        <v>-1</v>
      </c>
      <c r="O50">
        <v>0</v>
      </c>
      <c r="P50">
        <v>7</v>
      </c>
    </row>
    <row r="51" spans="2:16" x14ac:dyDescent="0.25">
      <c r="B51" s="15" t="s">
        <v>43</v>
      </c>
      <c r="C51" s="74">
        <v>2</v>
      </c>
      <c r="D51" s="74">
        <v>2</v>
      </c>
      <c r="E51" s="74">
        <v>33</v>
      </c>
      <c r="G51" t="s">
        <v>43</v>
      </c>
      <c r="H51">
        <v>2</v>
      </c>
      <c r="I51">
        <v>2</v>
      </c>
      <c r="J51">
        <v>33</v>
      </c>
      <c r="M51" t="s">
        <v>84</v>
      </c>
      <c r="N51" s="74">
        <f>N43-N$41*$O43/$O$41</f>
        <v>-14</v>
      </c>
      <c r="O51" s="74">
        <v>-18</v>
      </c>
      <c r="P51" s="74">
        <f>P43-P$41*$O43/$O$41</f>
        <v>260</v>
      </c>
    </row>
    <row r="52" spans="2:16" x14ac:dyDescent="0.25">
      <c r="B52" s="15" t="s">
        <v>42</v>
      </c>
      <c r="C52" s="74">
        <v>3</v>
      </c>
      <c r="D52" s="74">
        <v>4</v>
      </c>
      <c r="E52" s="74">
        <v>58</v>
      </c>
      <c r="G52" t="s">
        <v>42</v>
      </c>
      <c r="H52">
        <v>3</v>
      </c>
      <c r="I52">
        <v>4</v>
      </c>
      <c r="J52">
        <v>58</v>
      </c>
    </row>
    <row r="53" spans="2:16" x14ac:dyDescent="0.25">
      <c r="B53" t="s">
        <v>41</v>
      </c>
      <c r="C53">
        <v>0</v>
      </c>
      <c r="D53">
        <v>-1</v>
      </c>
      <c r="E53">
        <v>-9</v>
      </c>
      <c r="G53" t="s">
        <v>41</v>
      </c>
      <c r="H53">
        <v>0</v>
      </c>
      <c r="I53">
        <v>-1</v>
      </c>
      <c r="J53">
        <v>-10</v>
      </c>
    </row>
    <row r="54" spans="2:16" x14ac:dyDescent="0.25">
      <c r="B54" t="s">
        <v>40</v>
      </c>
      <c r="C54" s="27">
        <v>1</v>
      </c>
      <c r="D54">
        <v>0</v>
      </c>
      <c r="E54">
        <v>7</v>
      </c>
      <c r="G54" t="s">
        <v>40</v>
      </c>
      <c r="H54" s="27">
        <v>1</v>
      </c>
      <c r="I54">
        <v>0</v>
      </c>
      <c r="J54">
        <v>7</v>
      </c>
    </row>
    <row r="55" spans="2:16" x14ac:dyDescent="0.25">
      <c r="B55" t="s">
        <v>84</v>
      </c>
      <c r="C55" s="74">
        <v>-14</v>
      </c>
      <c r="D55" s="74">
        <v>-18</v>
      </c>
      <c r="E55" s="74">
        <v>0</v>
      </c>
      <c r="G55" t="s">
        <v>84</v>
      </c>
      <c r="H55">
        <v>-14</v>
      </c>
      <c r="I55">
        <v>-18</v>
      </c>
      <c r="J55">
        <v>0</v>
      </c>
    </row>
    <row r="56" spans="2:16" x14ac:dyDescent="0.25">
      <c r="C56" s="15"/>
      <c r="D56" s="15"/>
    </row>
    <row r="57" spans="2:16" x14ac:dyDescent="0.25">
      <c r="C57" s="15" t="s">
        <v>87</v>
      </c>
      <c r="D57" s="15" t="s">
        <v>86</v>
      </c>
      <c r="E57">
        <v>1</v>
      </c>
      <c r="H57" t="s">
        <v>87</v>
      </c>
      <c r="I57" t="s">
        <v>86</v>
      </c>
      <c r="J57">
        <v>1</v>
      </c>
    </row>
    <row r="58" spans="2:16" x14ac:dyDescent="0.25">
      <c r="B58" s="15" t="s">
        <v>43</v>
      </c>
      <c r="C58" s="74">
        <v>-2</v>
      </c>
      <c r="D58" s="74">
        <f>D51-D$54*$C51/$C$54</f>
        <v>2</v>
      </c>
      <c r="E58" s="74">
        <f>E51-E$54*$C51/$C$54</f>
        <v>19</v>
      </c>
      <c r="G58" t="s">
        <v>43</v>
      </c>
      <c r="H58">
        <v>-2</v>
      </c>
      <c r="I58" s="74">
        <f t="shared" ref="I58:J60" si="1">I51-I$54*$H51/$H$54</f>
        <v>2</v>
      </c>
      <c r="J58" s="74">
        <f t="shared" si="1"/>
        <v>19</v>
      </c>
    </row>
    <row r="59" spans="2:16" x14ac:dyDescent="0.25">
      <c r="B59" s="15" t="s">
        <v>42</v>
      </c>
      <c r="C59" s="74">
        <v>-3</v>
      </c>
      <c r="D59" s="75">
        <f>D52-D$54*$C52/$C$54</f>
        <v>4</v>
      </c>
      <c r="E59" s="74">
        <f>E52-E$54*$C52/$C$54</f>
        <v>37</v>
      </c>
      <c r="G59" t="s">
        <v>42</v>
      </c>
      <c r="H59">
        <v>-3</v>
      </c>
      <c r="I59" s="75">
        <f t="shared" si="1"/>
        <v>4</v>
      </c>
      <c r="J59" s="74">
        <f t="shared" si="1"/>
        <v>37</v>
      </c>
    </row>
    <row r="60" spans="2:16" x14ac:dyDescent="0.25">
      <c r="B60" t="s">
        <v>41</v>
      </c>
      <c r="C60">
        <v>0</v>
      </c>
      <c r="D60">
        <v>-1</v>
      </c>
      <c r="E60">
        <v>-9</v>
      </c>
      <c r="G60" t="s">
        <v>41</v>
      </c>
      <c r="H60">
        <v>0</v>
      </c>
      <c r="I60" s="74">
        <f t="shared" si="1"/>
        <v>-1</v>
      </c>
      <c r="J60" s="74">
        <f t="shared" si="1"/>
        <v>-10</v>
      </c>
    </row>
    <row r="61" spans="2:16" x14ac:dyDescent="0.25">
      <c r="B61" t="s">
        <v>40</v>
      </c>
      <c r="C61">
        <v>1</v>
      </c>
      <c r="D61">
        <v>0</v>
      </c>
      <c r="E61">
        <v>7</v>
      </c>
      <c r="G61" t="s">
        <v>40</v>
      </c>
      <c r="H61">
        <v>1</v>
      </c>
      <c r="I61">
        <v>0</v>
      </c>
      <c r="J61">
        <v>7</v>
      </c>
    </row>
    <row r="62" spans="2:16" x14ac:dyDescent="0.25">
      <c r="B62" t="s">
        <v>84</v>
      </c>
      <c r="C62" s="74">
        <v>14</v>
      </c>
      <c r="D62" s="74">
        <f>D55-D$54*$C55/$C$54</f>
        <v>-18</v>
      </c>
      <c r="E62" s="74">
        <f>E55-E$54*$C55/$C$54</f>
        <v>98</v>
      </c>
      <c r="G62" t="s">
        <v>84</v>
      </c>
      <c r="H62">
        <v>14</v>
      </c>
      <c r="I62" s="74">
        <f>I55-I$54*$H55/$H$54</f>
        <v>-18</v>
      </c>
      <c r="J62" s="74">
        <f>J55-J$54*$H55/$H$54</f>
        <v>98</v>
      </c>
    </row>
    <row r="63" spans="2:16" x14ac:dyDescent="0.25">
      <c r="D63" s="74"/>
      <c r="E63" s="74"/>
    </row>
    <row r="64" spans="2:16" x14ac:dyDescent="0.25">
      <c r="C64" t="s">
        <v>40</v>
      </c>
      <c r="D64" t="s">
        <v>42</v>
      </c>
      <c r="E64">
        <v>1</v>
      </c>
      <c r="H64" t="s">
        <v>40</v>
      </c>
      <c r="I64" t="s">
        <v>42</v>
      </c>
      <c r="J64">
        <v>1</v>
      </c>
    </row>
    <row r="65" spans="2:21" x14ac:dyDescent="0.25">
      <c r="B65" t="s">
        <v>43</v>
      </c>
      <c r="C65" s="74">
        <f>C58-C$59*$D58/$D$59</f>
        <v>-0.5</v>
      </c>
      <c r="D65" s="74">
        <f>-D58/$D$59</f>
        <v>-0.5</v>
      </c>
      <c r="E65" s="74">
        <f>E58-E$59*$D58/$D$59</f>
        <v>0.5</v>
      </c>
      <c r="G65" t="s">
        <v>43</v>
      </c>
      <c r="H65" s="74">
        <f>H58-H$59*$I58/$I$59</f>
        <v>-0.5</v>
      </c>
      <c r="I65" s="74">
        <v>2</v>
      </c>
      <c r="J65" s="74">
        <f>J58-J$59*$I58/$I$59</f>
        <v>0.5</v>
      </c>
    </row>
    <row r="66" spans="2:21" x14ac:dyDescent="0.25">
      <c r="B66" t="s">
        <v>50</v>
      </c>
      <c r="C66" s="74">
        <f>C59/$D$59</f>
        <v>-0.75</v>
      </c>
      <c r="D66" s="75">
        <f>1/D59</f>
        <v>0.25</v>
      </c>
      <c r="E66" s="74">
        <f>E59/$D$59</f>
        <v>9.25</v>
      </c>
      <c r="G66" t="s">
        <v>50</v>
      </c>
      <c r="H66" s="74">
        <f>H59/$I$59</f>
        <v>-0.75</v>
      </c>
      <c r="I66" s="75">
        <f>1/I59</f>
        <v>0.25</v>
      </c>
      <c r="J66" s="74">
        <f>J59/$I$59</f>
        <v>9.25</v>
      </c>
    </row>
    <row r="67" spans="2:21" x14ac:dyDescent="0.25">
      <c r="B67" t="s">
        <v>41</v>
      </c>
      <c r="C67" s="74">
        <f>C60-C$59*$D60/$D$59</f>
        <v>-0.75</v>
      </c>
      <c r="D67" s="74">
        <f>-D60/$D$59</f>
        <v>0.25</v>
      </c>
      <c r="E67" s="74">
        <f>E60-E$59*$D60/$D$59</f>
        <v>0.25</v>
      </c>
      <c r="G67" t="s">
        <v>41</v>
      </c>
      <c r="H67" s="74">
        <f>H60-H$59*$I60/$I$59</f>
        <v>-0.75</v>
      </c>
      <c r="I67" s="74">
        <f>-I60/$I$59</f>
        <v>0.25</v>
      </c>
      <c r="J67" s="74">
        <f>J60-J$59*$I60/$I$59</f>
        <v>-0.75</v>
      </c>
      <c r="K67" t="s">
        <v>88</v>
      </c>
    </row>
    <row r="68" spans="2:21" x14ac:dyDescent="0.25">
      <c r="B68" t="s">
        <v>57</v>
      </c>
      <c r="C68" s="74">
        <f>C61-C$59*$D61/$D$59</f>
        <v>1</v>
      </c>
      <c r="D68" s="74">
        <f>-D61/$D$59</f>
        <v>0</v>
      </c>
      <c r="E68" s="74">
        <f>E61-E$59*$D61/$D$59</f>
        <v>7</v>
      </c>
      <c r="G68" t="s">
        <v>57</v>
      </c>
      <c r="H68" s="74">
        <f>H61-H$59*$I61/$I$59</f>
        <v>1</v>
      </c>
      <c r="I68" s="74">
        <f>-I61/$I$59</f>
        <v>0</v>
      </c>
      <c r="J68" s="74">
        <f>J61-J$59*$I61/$I$59</f>
        <v>7</v>
      </c>
    </row>
    <row r="69" spans="2:21" x14ac:dyDescent="0.25">
      <c r="B69" t="s">
        <v>84</v>
      </c>
      <c r="C69" s="74">
        <f>C62-C$59*$D62/$D$59</f>
        <v>0.5</v>
      </c>
      <c r="D69" s="74">
        <f>-D62/$D$59</f>
        <v>4.5</v>
      </c>
      <c r="E69" s="74">
        <f>E62-E$59*$D62/$D$59</f>
        <v>264.5</v>
      </c>
      <c r="G69" t="s">
        <v>84</v>
      </c>
      <c r="H69" s="74">
        <f>H62-H$59*$I62/$I$59</f>
        <v>0.5</v>
      </c>
      <c r="I69" s="74">
        <f>-I62/$I$59</f>
        <v>4.5</v>
      </c>
      <c r="J69" s="74">
        <f>J62-J$59*$I62/$I$59</f>
        <v>264.5</v>
      </c>
    </row>
    <row r="77" spans="2:21" x14ac:dyDescent="0.25">
      <c r="L77" t="s">
        <v>87</v>
      </c>
      <c r="M77" t="s">
        <v>86</v>
      </c>
      <c r="N77">
        <v>1</v>
      </c>
      <c r="S77" t="s">
        <v>87</v>
      </c>
      <c r="T77" t="s">
        <v>86</v>
      </c>
      <c r="U77">
        <v>1</v>
      </c>
    </row>
    <row r="78" spans="2:21" x14ac:dyDescent="0.25">
      <c r="K78" t="s">
        <v>43</v>
      </c>
      <c r="L78">
        <v>2</v>
      </c>
      <c r="M78">
        <v>2</v>
      </c>
      <c r="N78">
        <v>33</v>
      </c>
      <c r="R78" t="s">
        <v>43</v>
      </c>
      <c r="S78">
        <v>2</v>
      </c>
      <c r="T78">
        <v>2</v>
      </c>
      <c r="U78">
        <v>33</v>
      </c>
    </row>
    <row r="79" spans="2:21" x14ac:dyDescent="0.25">
      <c r="C79" t="s">
        <v>87</v>
      </c>
      <c r="D79" t="s">
        <v>86</v>
      </c>
      <c r="E79">
        <v>1</v>
      </c>
      <c r="K79" t="s">
        <v>42</v>
      </c>
      <c r="L79">
        <v>3</v>
      </c>
      <c r="M79">
        <v>4</v>
      </c>
      <c r="N79">
        <v>58</v>
      </c>
      <c r="R79" t="s">
        <v>42</v>
      </c>
      <c r="S79">
        <v>3</v>
      </c>
      <c r="T79">
        <v>4</v>
      </c>
      <c r="U79">
        <v>58</v>
      </c>
    </row>
    <row r="80" spans="2:21" x14ac:dyDescent="0.25">
      <c r="B80" t="s">
        <v>43</v>
      </c>
      <c r="C80">
        <v>2</v>
      </c>
      <c r="D80">
        <v>2</v>
      </c>
      <c r="E80">
        <v>33</v>
      </c>
      <c r="K80" t="s">
        <v>41</v>
      </c>
      <c r="L80">
        <v>0</v>
      </c>
      <c r="M80">
        <v>1</v>
      </c>
      <c r="N80">
        <v>7</v>
      </c>
      <c r="R80" t="s">
        <v>41</v>
      </c>
      <c r="S80">
        <v>0</v>
      </c>
      <c r="T80">
        <v>1</v>
      </c>
      <c r="U80">
        <v>8</v>
      </c>
    </row>
    <row r="81" spans="2:21" x14ac:dyDescent="0.25">
      <c r="B81" t="s">
        <v>42</v>
      </c>
      <c r="C81">
        <v>3</v>
      </c>
      <c r="D81">
        <v>4</v>
      </c>
      <c r="E81">
        <v>58</v>
      </c>
      <c r="K81" t="s">
        <v>40</v>
      </c>
      <c r="L81" s="27">
        <v>-1</v>
      </c>
      <c r="M81">
        <v>0</v>
      </c>
      <c r="N81">
        <v>-9</v>
      </c>
      <c r="R81" t="s">
        <v>40</v>
      </c>
      <c r="S81" s="27">
        <v>-1</v>
      </c>
      <c r="T81">
        <v>0</v>
      </c>
      <c r="U81">
        <v>-9</v>
      </c>
    </row>
    <row r="82" spans="2:21" x14ac:dyDescent="0.25">
      <c r="B82" t="s">
        <v>41</v>
      </c>
      <c r="C82">
        <v>0</v>
      </c>
      <c r="D82">
        <v>1</v>
      </c>
      <c r="E82">
        <v>8</v>
      </c>
      <c r="K82" t="s">
        <v>84</v>
      </c>
      <c r="L82">
        <v>-14</v>
      </c>
      <c r="M82">
        <v>-18</v>
      </c>
      <c r="N82">
        <v>0</v>
      </c>
      <c r="R82" t="s">
        <v>84</v>
      </c>
      <c r="S82">
        <v>-14</v>
      </c>
      <c r="T82">
        <v>-18</v>
      </c>
      <c r="U82">
        <v>0</v>
      </c>
    </row>
    <row r="83" spans="2:21" x14ac:dyDescent="0.25">
      <c r="B83" t="s">
        <v>40</v>
      </c>
      <c r="C83" s="27">
        <v>1</v>
      </c>
      <c r="D83">
        <v>0</v>
      </c>
      <c r="E83">
        <v>8</v>
      </c>
    </row>
    <row r="84" spans="2:21" x14ac:dyDescent="0.25">
      <c r="B84" t="s">
        <v>84</v>
      </c>
      <c r="C84">
        <v>-14</v>
      </c>
      <c r="D84">
        <v>-18</v>
      </c>
      <c r="E84">
        <v>0</v>
      </c>
      <c r="L84" t="s">
        <v>87</v>
      </c>
      <c r="M84" t="s">
        <v>86</v>
      </c>
      <c r="N84">
        <v>1</v>
      </c>
      <c r="S84" t="s">
        <v>87</v>
      </c>
      <c r="T84" t="s">
        <v>86</v>
      </c>
      <c r="U84">
        <v>1</v>
      </c>
    </row>
    <row r="85" spans="2:21" x14ac:dyDescent="0.25">
      <c r="K85" t="s">
        <v>43</v>
      </c>
      <c r="L85">
        <v>2</v>
      </c>
      <c r="M85" s="27">
        <f t="shared" ref="M85:N87" si="2">M78-M$81*$L78/$L$81</f>
        <v>2</v>
      </c>
      <c r="N85">
        <f t="shared" si="2"/>
        <v>15</v>
      </c>
      <c r="R85" t="s">
        <v>43</v>
      </c>
      <c r="S85">
        <v>2</v>
      </c>
      <c r="T85" s="27">
        <f t="shared" ref="T85:U87" si="3">T78-T$81*$L78/$L$81</f>
        <v>2</v>
      </c>
      <c r="U85">
        <f t="shared" si="3"/>
        <v>15</v>
      </c>
    </row>
    <row r="86" spans="2:21" x14ac:dyDescent="0.25">
      <c r="C86" t="s">
        <v>87</v>
      </c>
      <c r="D86" t="s">
        <v>86</v>
      </c>
      <c r="E86">
        <v>1</v>
      </c>
      <c r="K86" t="s">
        <v>42</v>
      </c>
      <c r="L86">
        <v>3</v>
      </c>
      <c r="M86">
        <f t="shared" si="2"/>
        <v>4</v>
      </c>
      <c r="N86">
        <f t="shared" si="2"/>
        <v>31</v>
      </c>
      <c r="R86" t="s">
        <v>42</v>
      </c>
      <c r="S86">
        <v>3</v>
      </c>
      <c r="T86">
        <f t="shared" si="3"/>
        <v>4</v>
      </c>
      <c r="U86">
        <f t="shared" si="3"/>
        <v>31</v>
      </c>
    </row>
    <row r="87" spans="2:21" x14ac:dyDescent="0.25">
      <c r="B87" t="s">
        <v>43</v>
      </c>
      <c r="C87">
        <v>-2</v>
      </c>
      <c r="D87">
        <f>D80-$C80*D$83/$C$83</f>
        <v>2</v>
      </c>
      <c r="E87">
        <f>E80-$C80*E$83/$C$83</f>
        <v>17</v>
      </c>
      <c r="K87" t="s">
        <v>41</v>
      </c>
      <c r="L87">
        <v>0</v>
      </c>
      <c r="M87">
        <f t="shared" si="2"/>
        <v>1</v>
      </c>
      <c r="N87">
        <f t="shared" si="2"/>
        <v>7</v>
      </c>
      <c r="R87" t="s">
        <v>41</v>
      </c>
      <c r="S87">
        <v>0</v>
      </c>
      <c r="T87">
        <f t="shared" si="3"/>
        <v>1</v>
      </c>
      <c r="U87">
        <f t="shared" si="3"/>
        <v>8</v>
      </c>
    </row>
    <row r="88" spans="2:21" x14ac:dyDescent="0.25">
      <c r="B88" t="s">
        <v>42</v>
      </c>
      <c r="C88">
        <v>-3</v>
      </c>
      <c r="D88">
        <f>D81-$C81*D$83/$C$83</f>
        <v>4</v>
      </c>
      <c r="E88">
        <f>E81-$C81*E$83/$C$83</f>
        <v>34</v>
      </c>
      <c r="K88" t="s">
        <v>40</v>
      </c>
      <c r="L88">
        <v>-1</v>
      </c>
      <c r="M88">
        <v>0</v>
      </c>
      <c r="N88">
        <v>9</v>
      </c>
      <c r="R88" t="s">
        <v>40</v>
      </c>
      <c r="S88">
        <v>-1</v>
      </c>
      <c r="T88">
        <v>0</v>
      </c>
      <c r="U88">
        <v>9</v>
      </c>
    </row>
    <row r="89" spans="2:21" x14ac:dyDescent="0.25">
      <c r="B89" t="s">
        <v>41</v>
      </c>
      <c r="C89">
        <v>0</v>
      </c>
      <c r="D89" s="27">
        <v>1</v>
      </c>
      <c r="E89">
        <v>8</v>
      </c>
      <c r="K89" t="s">
        <v>84</v>
      </c>
      <c r="L89">
        <v>-14</v>
      </c>
      <c r="M89">
        <f>M82-M$81*$L82/$L$81</f>
        <v>-18</v>
      </c>
      <c r="N89">
        <f>N82-N$81*$L82/$L$81</f>
        <v>126</v>
      </c>
      <c r="R89" t="s">
        <v>84</v>
      </c>
      <c r="S89">
        <v>-14</v>
      </c>
      <c r="T89">
        <f>T82-T$81*$L82/$L$81</f>
        <v>-18</v>
      </c>
      <c r="U89">
        <f>U82-U$81*$L82/$L$81</f>
        <v>126</v>
      </c>
    </row>
    <row r="90" spans="2:21" x14ac:dyDescent="0.25">
      <c r="B90" t="s">
        <v>40</v>
      </c>
      <c r="C90">
        <v>1</v>
      </c>
      <c r="D90">
        <f>-D83-$C83*D$83/$C$83</f>
        <v>0</v>
      </c>
      <c r="E90">
        <v>8</v>
      </c>
    </row>
    <row r="91" spans="2:21" x14ac:dyDescent="0.25">
      <c r="B91" t="s">
        <v>84</v>
      </c>
      <c r="C91">
        <v>14</v>
      </c>
      <c r="D91">
        <f>D84-$C84*D$83/$C$83</f>
        <v>-18</v>
      </c>
      <c r="E91">
        <f>E84-$C84*E$83/$C$83</f>
        <v>112</v>
      </c>
      <c r="L91" t="s">
        <v>40</v>
      </c>
      <c r="M91" t="s">
        <v>43</v>
      </c>
      <c r="N91">
        <v>1</v>
      </c>
      <c r="S91" t="s">
        <v>40</v>
      </c>
      <c r="T91" t="s">
        <v>43</v>
      </c>
      <c r="U91">
        <v>1</v>
      </c>
    </row>
    <row r="92" spans="2:21" x14ac:dyDescent="0.25">
      <c r="K92" t="s">
        <v>50</v>
      </c>
      <c r="L92">
        <f>L85/$M$85</f>
        <v>1</v>
      </c>
      <c r="M92">
        <f>1/M85</f>
        <v>0.5</v>
      </c>
      <c r="N92">
        <f>N85/$M$85</f>
        <v>7.5</v>
      </c>
      <c r="R92" t="s">
        <v>50</v>
      </c>
      <c r="S92">
        <f>S85/$M$85</f>
        <v>1</v>
      </c>
      <c r="T92">
        <f>1/T85</f>
        <v>0.5</v>
      </c>
      <c r="U92">
        <f>U85/$M$85</f>
        <v>7.5</v>
      </c>
    </row>
    <row r="93" spans="2:21" x14ac:dyDescent="0.25">
      <c r="C93" t="s">
        <v>40</v>
      </c>
      <c r="D93" t="s">
        <v>41</v>
      </c>
      <c r="E93">
        <v>1</v>
      </c>
      <c r="K93" t="s">
        <v>42</v>
      </c>
      <c r="L93">
        <f>L86-L$85*$M86/$M$85</f>
        <v>-1</v>
      </c>
      <c r="M93">
        <v>4</v>
      </c>
      <c r="N93">
        <f>N86-N$85*$M86/$M$85</f>
        <v>1</v>
      </c>
      <c r="R93" t="s">
        <v>42</v>
      </c>
      <c r="S93">
        <f>S86-S$85*$M86/$M$85</f>
        <v>-1</v>
      </c>
      <c r="T93">
        <v>4</v>
      </c>
      <c r="U93">
        <f>U86-U$85*$M86/$M$85</f>
        <v>1</v>
      </c>
    </row>
    <row r="94" spans="2:21" x14ac:dyDescent="0.25">
      <c r="B94" t="s">
        <v>43</v>
      </c>
      <c r="C94">
        <f>C87-$D87*C$89/$D$89</f>
        <v>-2</v>
      </c>
      <c r="D94">
        <v>-2</v>
      </c>
      <c r="E94">
        <f>E87-$D87*E$89/$D$89</f>
        <v>1</v>
      </c>
      <c r="K94" t="s">
        <v>41</v>
      </c>
      <c r="L94">
        <f>L87-L$85*$M87/$M$85</f>
        <v>-1</v>
      </c>
      <c r="M94">
        <f>-M87/$M$85</f>
        <v>-0.5</v>
      </c>
      <c r="N94">
        <f>N87-N$85*$M87/$M$85</f>
        <v>-0.5</v>
      </c>
      <c r="R94" t="s">
        <v>41</v>
      </c>
      <c r="S94">
        <f>S87-S$85*$M87/$M$85</f>
        <v>-1</v>
      </c>
      <c r="T94">
        <f>-T87/$M$85</f>
        <v>-0.5</v>
      </c>
      <c r="U94">
        <f>U87-U$85*$M87/$M$85</f>
        <v>0.5</v>
      </c>
    </row>
    <row r="95" spans="2:21" x14ac:dyDescent="0.25">
      <c r="B95" t="s">
        <v>42</v>
      </c>
      <c r="C95">
        <f>C88-$D88*C$89/$D$89</f>
        <v>-3</v>
      </c>
      <c r="D95">
        <v>-4</v>
      </c>
      <c r="E95">
        <f>E88-$D88*E$89/$D$89</f>
        <v>2</v>
      </c>
      <c r="K95" t="s">
        <v>57</v>
      </c>
      <c r="L95">
        <f>L88-L$85*$M88/$M$85</f>
        <v>-1</v>
      </c>
      <c r="M95">
        <f>-M88/$M$85</f>
        <v>0</v>
      </c>
      <c r="N95">
        <f>N88-N$85*$M88/$M$85</f>
        <v>9</v>
      </c>
      <c r="R95" t="s">
        <v>57</v>
      </c>
      <c r="S95">
        <f>S88-S$85*$M88/$M$85</f>
        <v>-1</v>
      </c>
      <c r="T95">
        <f>-T88/$M$85</f>
        <v>0</v>
      </c>
      <c r="U95">
        <f>U88-U$85*$M88/$M$85</f>
        <v>9</v>
      </c>
    </row>
    <row r="96" spans="2:21" x14ac:dyDescent="0.25">
      <c r="B96" t="s">
        <v>50</v>
      </c>
      <c r="C96">
        <v>0</v>
      </c>
      <c r="D96">
        <v>1</v>
      </c>
      <c r="E96">
        <v>8</v>
      </c>
      <c r="K96" t="s">
        <v>84</v>
      </c>
      <c r="L96">
        <f>L89-L$85*$M89/$M$85</f>
        <v>4</v>
      </c>
      <c r="M96">
        <f>-M89/$M$85</f>
        <v>9</v>
      </c>
      <c r="N96">
        <f>N89-N$85*$M89/$M$85</f>
        <v>261</v>
      </c>
      <c r="R96" t="s">
        <v>84</v>
      </c>
      <c r="S96">
        <f>S89-S$85*$M89/$M$85</f>
        <v>4</v>
      </c>
      <c r="T96">
        <f>-T89/$M$85</f>
        <v>9</v>
      </c>
      <c r="U96">
        <f>U89-U$85*$M89/$M$85</f>
        <v>261</v>
      </c>
    </row>
    <row r="97" spans="2:12" x14ac:dyDescent="0.25">
      <c r="B97" t="s">
        <v>57</v>
      </c>
      <c r="C97">
        <f>C90-$D90*C$89/$D$89</f>
        <v>1</v>
      </c>
      <c r="D97">
        <v>0</v>
      </c>
      <c r="E97">
        <f>E90-$D90*E$89/$D$89</f>
        <v>8</v>
      </c>
    </row>
    <row r="98" spans="2:12" x14ac:dyDescent="0.25">
      <c r="B98" t="s">
        <v>84</v>
      </c>
      <c r="C98">
        <f>C91-$D91*C$89/$D$89</f>
        <v>14</v>
      </c>
      <c r="D98">
        <v>18</v>
      </c>
      <c r="E98">
        <f>E91-$D91*E$89/$D$89</f>
        <v>256</v>
      </c>
    </row>
    <row r="100" spans="2:12" x14ac:dyDescent="0.25">
      <c r="E100" t="s">
        <v>87</v>
      </c>
      <c r="F100" t="s">
        <v>86</v>
      </c>
      <c r="G100">
        <v>1</v>
      </c>
      <c r="J100" t="s">
        <v>87</v>
      </c>
      <c r="K100" t="s">
        <v>86</v>
      </c>
      <c r="L100">
        <v>1</v>
      </c>
    </row>
    <row r="101" spans="2:12" x14ac:dyDescent="0.25">
      <c r="D101" t="s">
        <v>43</v>
      </c>
      <c r="E101">
        <v>2</v>
      </c>
      <c r="F101">
        <v>2</v>
      </c>
      <c r="G101">
        <v>33</v>
      </c>
      <c r="I101" t="s">
        <v>43</v>
      </c>
      <c r="J101">
        <v>2</v>
      </c>
      <c r="K101">
        <v>2</v>
      </c>
      <c r="L101">
        <v>33</v>
      </c>
    </row>
    <row r="102" spans="2:12" x14ac:dyDescent="0.25">
      <c r="D102" t="s">
        <v>42</v>
      </c>
      <c r="E102">
        <v>3</v>
      </c>
      <c r="F102">
        <v>4</v>
      </c>
      <c r="G102">
        <v>58</v>
      </c>
      <c r="I102" t="s">
        <v>42</v>
      </c>
      <c r="J102">
        <v>3</v>
      </c>
      <c r="K102">
        <v>4</v>
      </c>
      <c r="L102">
        <v>58</v>
      </c>
    </row>
    <row r="103" spans="2:12" x14ac:dyDescent="0.25">
      <c r="D103" t="s">
        <v>41</v>
      </c>
      <c r="E103">
        <v>0</v>
      </c>
      <c r="F103" s="27">
        <v>1</v>
      </c>
      <c r="G103">
        <v>8</v>
      </c>
      <c r="I103" t="s">
        <v>41</v>
      </c>
      <c r="J103" s="27">
        <v>1</v>
      </c>
      <c r="K103">
        <v>0</v>
      </c>
      <c r="L103">
        <v>7</v>
      </c>
    </row>
    <row r="104" spans="2:12" x14ac:dyDescent="0.25">
      <c r="D104" t="s">
        <v>40</v>
      </c>
      <c r="E104">
        <v>1</v>
      </c>
      <c r="F104">
        <v>0</v>
      </c>
      <c r="G104">
        <v>9</v>
      </c>
      <c r="I104" t="s">
        <v>40</v>
      </c>
      <c r="J104">
        <v>0</v>
      </c>
      <c r="K104">
        <v>1</v>
      </c>
      <c r="L104">
        <v>9</v>
      </c>
    </row>
    <row r="105" spans="2:12" x14ac:dyDescent="0.25">
      <c r="D105" t="s">
        <v>85</v>
      </c>
      <c r="E105">
        <v>-1</v>
      </c>
      <c r="F105">
        <v>0</v>
      </c>
      <c r="G105">
        <v>-9</v>
      </c>
      <c r="I105" t="s">
        <v>85</v>
      </c>
      <c r="J105">
        <v>0</v>
      </c>
      <c r="K105">
        <v>-1</v>
      </c>
      <c r="L105">
        <v>-9</v>
      </c>
    </row>
    <row r="106" spans="2:12" x14ac:dyDescent="0.25">
      <c r="D106" t="s">
        <v>84</v>
      </c>
      <c r="E106">
        <v>-14</v>
      </c>
      <c r="F106">
        <v>-18</v>
      </c>
      <c r="G106">
        <v>0</v>
      </c>
      <c r="I106" t="s">
        <v>84</v>
      </c>
      <c r="J106">
        <v>-14</v>
      </c>
      <c r="K106">
        <v>-18</v>
      </c>
      <c r="L106">
        <v>0</v>
      </c>
    </row>
    <row r="108" spans="2:12" x14ac:dyDescent="0.25">
      <c r="E108" t="s">
        <v>87</v>
      </c>
      <c r="F108" t="s">
        <v>86</v>
      </c>
      <c r="G108">
        <v>1</v>
      </c>
      <c r="J108" t="s">
        <v>87</v>
      </c>
      <c r="K108" t="s">
        <v>86</v>
      </c>
      <c r="L108">
        <v>1</v>
      </c>
    </row>
    <row r="109" spans="2:12" x14ac:dyDescent="0.25">
      <c r="D109" t="s">
        <v>43</v>
      </c>
      <c r="E109">
        <f>E101-$F101*E$103/$F$103</f>
        <v>2</v>
      </c>
      <c r="F109">
        <v>-2</v>
      </c>
      <c r="G109">
        <f t="shared" ref="G109:G114" si="4">G101-$F101*G$103/$F$103</f>
        <v>17</v>
      </c>
      <c r="I109" t="s">
        <v>43</v>
      </c>
      <c r="J109">
        <v>-2</v>
      </c>
      <c r="K109">
        <f>K101-$J101*K$103/$J$103</f>
        <v>2</v>
      </c>
      <c r="L109">
        <f>L101-$J101*L$103/$J$103</f>
        <v>19</v>
      </c>
    </row>
    <row r="110" spans="2:12" x14ac:dyDescent="0.25">
      <c r="D110" t="s">
        <v>42</v>
      </c>
      <c r="E110">
        <f>E102-$F102*E$103/$F$103</f>
        <v>3</v>
      </c>
      <c r="F110">
        <v>-4</v>
      </c>
      <c r="G110">
        <f t="shared" si="4"/>
        <v>26</v>
      </c>
      <c r="I110" t="s">
        <v>42</v>
      </c>
      <c r="J110">
        <v>-3</v>
      </c>
      <c r="K110">
        <f>K102-$J102*K$103/$J$103</f>
        <v>4</v>
      </c>
      <c r="L110">
        <f>L102-$J102*L$103/$J$103</f>
        <v>37</v>
      </c>
    </row>
    <row r="111" spans="2:12" x14ac:dyDescent="0.25">
      <c r="D111" t="s">
        <v>41</v>
      </c>
      <c r="E111">
        <v>0</v>
      </c>
      <c r="F111">
        <v>1</v>
      </c>
      <c r="G111">
        <f t="shared" si="4"/>
        <v>0</v>
      </c>
      <c r="I111" t="s">
        <v>41</v>
      </c>
      <c r="J111">
        <v>1</v>
      </c>
      <c r="K111">
        <v>0</v>
      </c>
      <c r="L111">
        <v>7</v>
      </c>
    </row>
    <row r="112" spans="2:12" x14ac:dyDescent="0.25">
      <c r="D112" t="s">
        <v>40</v>
      </c>
      <c r="E112" s="27">
        <f>E104-$F104*E$103/$F$103</f>
        <v>1</v>
      </c>
      <c r="F112">
        <v>0</v>
      </c>
      <c r="G112">
        <f t="shared" si="4"/>
        <v>9</v>
      </c>
      <c r="I112" t="s">
        <v>40</v>
      </c>
      <c r="J112">
        <v>0</v>
      </c>
      <c r="K112" s="27">
        <f t="shared" ref="K112:L114" si="5">K104-$J104*K$103/$J$103</f>
        <v>1</v>
      </c>
      <c r="L112">
        <f t="shared" si="5"/>
        <v>9</v>
      </c>
    </row>
    <row r="113" spans="4:12" x14ac:dyDescent="0.25">
      <c r="D113" t="s">
        <v>85</v>
      </c>
      <c r="E113">
        <f>E105-$F105*E$103/$F$103</f>
        <v>-1</v>
      </c>
      <c r="F113">
        <v>0</v>
      </c>
      <c r="G113">
        <f t="shared" si="4"/>
        <v>-9</v>
      </c>
      <c r="I113" t="s">
        <v>85</v>
      </c>
      <c r="J113">
        <v>0</v>
      </c>
      <c r="K113">
        <f t="shared" si="5"/>
        <v>-1</v>
      </c>
      <c r="L113">
        <f t="shared" si="5"/>
        <v>-9</v>
      </c>
    </row>
    <row r="114" spans="4:12" x14ac:dyDescent="0.25">
      <c r="D114" t="s">
        <v>84</v>
      </c>
      <c r="E114">
        <f>E106-$F106*E$103/$F$103</f>
        <v>-14</v>
      </c>
      <c r="F114">
        <v>18</v>
      </c>
      <c r="G114">
        <f t="shared" si="4"/>
        <v>144</v>
      </c>
      <c r="I114" t="s">
        <v>84</v>
      </c>
      <c r="J114">
        <v>14</v>
      </c>
      <c r="K114">
        <f t="shared" si="5"/>
        <v>-18</v>
      </c>
      <c r="L114">
        <f t="shared" si="5"/>
        <v>98</v>
      </c>
    </row>
    <row r="116" spans="4:12" x14ac:dyDescent="0.25">
      <c r="E116" t="s">
        <v>40</v>
      </c>
      <c r="F116" t="s">
        <v>41</v>
      </c>
      <c r="G116">
        <v>1</v>
      </c>
      <c r="J116" t="s">
        <v>41</v>
      </c>
      <c r="K116" t="s">
        <v>40</v>
      </c>
      <c r="L116">
        <v>1</v>
      </c>
    </row>
    <row r="117" spans="4:12" x14ac:dyDescent="0.25">
      <c r="D117" t="s">
        <v>43</v>
      </c>
      <c r="E117">
        <v>-2</v>
      </c>
      <c r="F117">
        <f t="shared" ref="F117:G119" si="6">F109-$E109*F$112/$E$112</f>
        <v>-2</v>
      </c>
      <c r="G117">
        <f t="shared" si="6"/>
        <v>-1</v>
      </c>
      <c r="I117" t="s">
        <v>43</v>
      </c>
      <c r="J117">
        <v>-2</v>
      </c>
      <c r="K117">
        <v>-2</v>
      </c>
      <c r="L117">
        <v>19</v>
      </c>
    </row>
    <row r="118" spans="4:12" x14ac:dyDescent="0.25">
      <c r="D118" t="s">
        <v>42</v>
      </c>
      <c r="E118">
        <v>-3</v>
      </c>
      <c r="F118">
        <f t="shared" si="6"/>
        <v>-4</v>
      </c>
      <c r="G118">
        <f t="shared" si="6"/>
        <v>-1</v>
      </c>
      <c r="I118" t="s">
        <v>42</v>
      </c>
      <c r="J118">
        <v>-3</v>
      </c>
      <c r="K118">
        <v>-4</v>
      </c>
      <c r="L118">
        <v>37</v>
      </c>
    </row>
    <row r="119" spans="4:12" x14ac:dyDescent="0.25">
      <c r="D119" t="s">
        <v>50</v>
      </c>
      <c r="E119">
        <v>0</v>
      </c>
      <c r="F119">
        <f t="shared" si="6"/>
        <v>1</v>
      </c>
      <c r="G119">
        <f t="shared" si="6"/>
        <v>0</v>
      </c>
      <c r="I119" t="s">
        <v>57</v>
      </c>
      <c r="J119">
        <v>1</v>
      </c>
      <c r="K119">
        <v>0</v>
      </c>
      <c r="L119">
        <v>7</v>
      </c>
    </row>
    <row r="120" spans="4:12" x14ac:dyDescent="0.25">
      <c r="D120" t="s">
        <v>57</v>
      </c>
      <c r="E120" s="27">
        <f>E112-$F112*E$103/$F$103</f>
        <v>1</v>
      </c>
      <c r="F120">
        <v>0</v>
      </c>
      <c r="G120">
        <f>G112-$F112*G$103/$F$103</f>
        <v>9</v>
      </c>
      <c r="I120" t="s">
        <v>50</v>
      </c>
      <c r="J120">
        <v>0</v>
      </c>
      <c r="K120">
        <v>1</v>
      </c>
      <c r="L120">
        <v>9</v>
      </c>
    </row>
    <row r="121" spans="4:12" x14ac:dyDescent="0.25">
      <c r="D121" t="s">
        <v>85</v>
      </c>
      <c r="E121">
        <v>1</v>
      </c>
      <c r="F121">
        <f>F113-$E113*F$112/$E$112</f>
        <v>0</v>
      </c>
      <c r="G121">
        <f>G113-$E113*G$112/$E$112</f>
        <v>0</v>
      </c>
      <c r="I121" t="s">
        <v>85</v>
      </c>
      <c r="J121">
        <v>0</v>
      </c>
      <c r="K121">
        <v>1</v>
      </c>
      <c r="L121">
        <v>-9</v>
      </c>
    </row>
    <row r="122" spans="4:12" x14ac:dyDescent="0.25">
      <c r="D122" t="s">
        <v>84</v>
      </c>
      <c r="E122">
        <v>14</v>
      </c>
      <c r="F122">
        <f>F114-$E114*F$112/$E$112</f>
        <v>18</v>
      </c>
      <c r="G122">
        <f>G114-$E114*G$112/$E$112</f>
        <v>270</v>
      </c>
      <c r="I122" t="s">
        <v>84</v>
      </c>
      <c r="J122">
        <v>14</v>
      </c>
      <c r="K122">
        <v>18</v>
      </c>
      <c r="L122">
        <f>L114-$K114*L$112/$K$112</f>
        <v>260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1"/>
  <sheetViews>
    <sheetView topLeftCell="D24" workbookViewId="0">
      <selection activeCell="K82" sqref="K82"/>
    </sheetView>
  </sheetViews>
  <sheetFormatPr defaultRowHeight="15" x14ac:dyDescent="0.25"/>
  <cols>
    <col min="18" max="18" width="10.42578125" bestFit="1" customWidth="1"/>
    <col min="19" max="23" width="15" bestFit="1" customWidth="1"/>
    <col min="30" max="30" width="10.42578125" customWidth="1"/>
    <col min="32" max="32" width="9.85546875" customWidth="1"/>
  </cols>
  <sheetData>
    <row r="1" spans="1:34" x14ac:dyDescent="0.25">
      <c r="B1" s="74">
        <f>X31</f>
        <v>0.23933943058661791</v>
      </c>
      <c r="C1" s="74">
        <f>V45</f>
        <v>7.4344866736702042E-2</v>
      </c>
      <c r="D1" s="74">
        <f>X45</f>
        <v>4.0375692508035549E-2</v>
      </c>
    </row>
    <row r="2" spans="1:34" x14ac:dyDescent="0.25">
      <c r="A2" t="s">
        <v>111</v>
      </c>
      <c r="B2" s="74">
        <f>V45</f>
        <v>7.4344866736702042E-2</v>
      </c>
      <c r="C2" s="74">
        <f>Y31</f>
        <v>0.51401441741212395</v>
      </c>
      <c r="D2" s="74">
        <f>Z45</f>
        <v>0.33430481851289401</v>
      </c>
    </row>
    <row r="3" spans="1:34" x14ac:dyDescent="0.25">
      <c r="B3" s="74">
        <f>X45</f>
        <v>4.0375692508035549E-2</v>
      </c>
      <c r="C3" s="74">
        <f>Z45</f>
        <v>0.33430481851289401</v>
      </c>
      <c r="D3" s="74">
        <f>Z31</f>
        <v>0.97172950222426535</v>
      </c>
    </row>
    <row r="4" spans="1:34" x14ac:dyDescent="0.25">
      <c r="B4" t="s">
        <v>51</v>
      </c>
      <c r="C4" t="s">
        <v>50</v>
      </c>
      <c r="D4" t="s">
        <v>92</v>
      </c>
      <c r="R4" s="90" t="s">
        <v>109</v>
      </c>
      <c r="S4" s="89"/>
      <c r="T4" s="91">
        <v>1</v>
      </c>
      <c r="U4" s="91">
        <v>2</v>
      </c>
      <c r="V4" s="91">
        <v>3</v>
      </c>
      <c r="W4" s="91">
        <v>4</v>
      </c>
      <c r="X4" s="90">
        <v>5</v>
      </c>
    </row>
    <row r="5" spans="1:34" x14ac:dyDescent="0.25">
      <c r="B5" s="74">
        <v>0.10173271785327753</v>
      </c>
      <c r="C5" s="74">
        <v>0.89280747470712363</v>
      </c>
      <c r="D5" s="74">
        <v>5.4598029975571919E-3</v>
      </c>
      <c r="R5" s="87" t="s">
        <v>108</v>
      </c>
      <c r="S5" s="86"/>
      <c r="T5" s="83">
        <v>91</v>
      </c>
      <c r="U5" s="82">
        <v>62.53</v>
      </c>
      <c r="V5" s="83">
        <v>43.65</v>
      </c>
      <c r="W5" s="82">
        <v>32.450000000000003</v>
      </c>
      <c r="X5" s="81">
        <v>48.881</v>
      </c>
    </row>
    <row r="6" spans="1:34" x14ac:dyDescent="0.25">
      <c r="A6" t="s">
        <v>110</v>
      </c>
      <c r="B6">
        <v>0.15321672361880467</v>
      </c>
      <c r="C6">
        <v>0.57677258615619176</v>
      </c>
      <c r="D6">
        <v>0.39671218675981412</v>
      </c>
      <c r="E6" s="76">
        <f>SUMPRODUCT(B5:D5,B6:D6)</f>
        <v>0.53270000022716069</v>
      </c>
      <c r="F6" s="76">
        <v>0.53269999999999995</v>
      </c>
      <c r="R6" s="84" t="s">
        <v>103</v>
      </c>
      <c r="S6" s="84" t="s">
        <v>107</v>
      </c>
      <c r="T6" s="83">
        <v>5.13</v>
      </c>
      <c r="U6" s="82">
        <v>2.85</v>
      </c>
      <c r="V6" s="83">
        <v>0</v>
      </c>
      <c r="W6" s="82">
        <v>10.95</v>
      </c>
      <c r="X6" s="81">
        <v>49.481000000000002</v>
      </c>
      <c r="AB6" s="90" t="s">
        <v>109</v>
      </c>
      <c r="AC6" s="87" t="s">
        <v>108</v>
      </c>
      <c r="AD6" s="84" t="s">
        <v>103</v>
      </c>
      <c r="AE6" s="87" t="s">
        <v>106</v>
      </c>
      <c r="AF6" s="84" t="s">
        <v>103</v>
      </c>
      <c r="AG6" s="87" t="s">
        <v>104</v>
      </c>
      <c r="AH6" s="84" t="s">
        <v>103</v>
      </c>
    </row>
    <row r="7" spans="1:34" x14ac:dyDescent="0.25">
      <c r="B7">
        <v>1</v>
      </c>
      <c r="C7">
        <v>1</v>
      </c>
      <c r="D7">
        <v>1</v>
      </c>
      <c r="E7">
        <v>1</v>
      </c>
      <c r="F7">
        <v>1</v>
      </c>
      <c r="R7" s="87" t="s">
        <v>106</v>
      </c>
      <c r="S7" s="86"/>
      <c r="T7" s="83">
        <v>44</v>
      </c>
      <c r="U7" s="82">
        <v>33.79</v>
      </c>
      <c r="V7" s="83">
        <v>32.58</v>
      </c>
      <c r="W7" s="82">
        <v>24.89</v>
      </c>
      <c r="X7" s="81">
        <v>33.548999999999999</v>
      </c>
      <c r="AB7" s="91">
        <v>1</v>
      </c>
      <c r="AC7" s="83">
        <v>91</v>
      </c>
      <c r="AD7" s="83">
        <v>5.13</v>
      </c>
      <c r="AE7" s="83">
        <v>44</v>
      </c>
      <c r="AF7" s="83">
        <v>35.729999999999997</v>
      </c>
      <c r="AG7" s="83">
        <v>84</v>
      </c>
      <c r="AH7" s="83">
        <v>8.02</v>
      </c>
    </row>
    <row r="8" spans="1:34" x14ac:dyDescent="0.25">
      <c r="A8" t="s">
        <v>84</v>
      </c>
      <c r="B8">
        <f>B1*B5*B5+B2*B5*C5+B3*B5*D5</f>
        <v>9.2520562683393679E-3</v>
      </c>
      <c r="C8">
        <f>C1*B5*C5+C2*C5*C5+C3*B5*D5</f>
        <v>0.41666182027658166</v>
      </c>
      <c r="D8">
        <f>D1*B5*D5+D2*C5*D5+D3*D5*D5</f>
        <v>1.680979551077971E-3</v>
      </c>
      <c r="E8">
        <f>SUMPRODUCT(B8:D8,B5:D5)</f>
        <v>0.37294920221510963</v>
      </c>
      <c r="R8" s="84" t="s">
        <v>103</v>
      </c>
      <c r="S8" s="84" t="s">
        <v>105</v>
      </c>
      <c r="T8" s="83">
        <v>35.729999999999997</v>
      </c>
      <c r="U8" s="82">
        <v>7.3</v>
      </c>
      <c r="V8" s="83">
        <v>46.13</v>
      </c>
      <c r="W8" s="82">
        <v>5.77</v>
      </c>
      <c r="X8" s="81">
        <v>23.35</v>
      </c>
      <c r="AB8" s="91">
        <v>2</v>
      </c>
      <c r="AC8" s="82">
        <v>62.53</v>
      </c>
      <c r="AD8" s="82">
        <v>2.85</v>
      </c>
      <c r="AE8" s="82">
        <v>33.79</v>
      </c>
      <c r="AF8" s="82">
        <v>7.3</v>
      </c>
      <c r="AG8" s="82">
        <v>39.549999999999997</v>
      </c>
      <c r="AH8" s="82">
        <v>26.87</v>
      </c>
    </row>
    <row r="9" spans="1:34" x14ac:dyDescent="0.25">
      <c r="R9" s="87" t="s">
        <v>104</v>
      </c>
      <c r="S9" s="86"/>
      <c r="T9" s="83">
        <v>84</v>
      </c>
      <c r="U9" s="82">
        <v>39.549999999999997</v>
      </c>
      <c r="V9" s="83">
        <v>35.07</v>
      </c>
      <c r="W9" s="82">
        <v>33.9</v>
      </c>
      <c r="X9" s="81">
        <v>43.386000000000003</v>
      </c>
      <c r="AB9" s="91">
        <v>3</v>
      </c>
      <c r="AC9" s="83">
        <v>43.65</v>
      </c>
      <c r="AD9" s="83">
        <v>0</v>
      </c>
      <c r="AE9" s="83">
        <v>32.58</v>
      </c>
      <c r="AF9" s="83">
        <v>46.13</v>
      </c>
      <c r="AG9" s="83">
        <v>35.07</v>
      </c>
      <c r="AH9" s="83">
        <v>6.99</v>
      </c>
    </row>
    <row r="10" spans="1:34" x14ac:dyDescent="0.25">
      <c r="R10" s="84" t="s">
        <v>103</v>
      </c>
      <c r="S10" s="84" t="s">
        <v>102</v>
      </c>
      <c r="T10" s="83">
        <v>8.02</v>
      </c>
      <c r="U10" s="82">
        <v>26.87</v>
      </c>
      <c r="V10" s="83">
        <v>6.99</v>
      </c>
      <c r="W10" s="82">
        <v>6.32</v>
      </c>
      <c r="X10" s="81">
        <v>19.067</v>
      </c>
      <c r="AB10" s="91">
        <v>4</v>
      </c>
      <c r="AC10" s="82">
        <v>32.450000000000003</v>
      </c>
      <c r="AD10" s="82">
        <v>10.95</v>
      </c>
      <c r="AE10" s="82">
        <v>24.89</v>
      </c>
      <c r="AF10" s="82">
        <v>5.77</v>
      </c>
      <c r="AG10" s="82">
        <v>33.9</v>
      </c>
      <c r="AH10" s="82">
        <v>6.32</v>
      </c>
    </row>
    <row r="11" spans="1:34" x14ac:dyDescent="0.25">
      <c r="R11" s="90" t="s">
        <v>109</v>
      </c>
      <c r="S11" s="89"/>
      <c r="T11" s="88">
        <v>6</v>
      </c>
      <c r="U11" s="88">
        <v>7</v>
      </c>
      <c r="V11" s="88">
        <v>8</v>
      </c>
      <c r="W11" s="88">
        <v>9</v>
      </c>
      <c r="X11" s="85">
        <v>10</v>
      </c>
      <c r="AB11" s="88">
        <v>6</v>
      </c>
      <c r="AC11" s="83">
        <v>40.630000000000003</v>
      </c>
      <c r="AD11" s="83">
        <v>20.92</v>
      </c>
      <c r="AE11" s="83">
        <v>29.66</v>
      </c>
      <c r="AF11" s="83">
        <v>20.88</v>
      </c>
      <c r="AG11" s="83">
        <v>40.21</v>
      </c>
      <c r="AH11" s="83">
        <v>21.43</v>
      </c>
    </row>
    <row r="12" spans="1:34" x14ac:dyDescent="0.25">
      <c r="R12" s="87" t="s">
        <v>108</v>
      </c>
      <c r="S12" s="86"/>
      <c r="T12" s="83">
        <v>40.630000000000003</v>
      </c>
      <c r="U12" s="82">
        <v>45.86</v>
      </c>
      <c r="V12" s="83">
        <v>42.71</v>
      </c>
      <c r="W12" s="82">
        <v>49.91</v>
      </c>
      <c r="X12" s="81">
        <v>66.188999999999993</v>
      </c>
      <c r="AB12" s="88">
        <v>7</v>
      </c>
      <c r="AC12" s="82">
        <v>45.86</v>
      </c>
      <c r="AD12" s="82">
        <v>0.56999999999999995</v>
      </c>
      <c r="AE12" s="82">
        <v>34.880000000000003</v>
      </c>
      <c r="AF12" s="82">
        <v>32.92</v>
      </c>
      <c r="AG12" s="82">
        <v>45.57</v>
      </c>
      <c r="AH12" s="82">
        <v>2.34</v>
      </c>
    </row>
    <row r="13" spans="1:34" x14ac:dyDescent="0.25">
      <c r="R13" s="84" t="s">
        <v>103</v>
      </c>
      <c r="S13" s="84" t="s">
        <v>107</v>
      </c>
      <c r="T13" s="83">
        <v>20.92</v>
      </c>
      <c r="U13" s="82">
        <v>0.56999999999999995</v>
      </c>
      <c r="V13" s="83">
        <v>28.82</v>
      </c>
      <c r="W13" s="82">
        <v>10.85</v>
      </c>
      <c r="X13" s="81">
        <v>21.585999999999999</v>
      </c>
      <c r="AB13" s="88">
        <v>8</v>
      </c>
      <c r="AC13" s="83">
        <v>42.71</v>
      </c>
      <c r="AD13" s="83">
        <v>28.82</v>
      </c>
      <c r="AE13" s="83">
        <v>43.11</v>
      </c>
      <c r="AF13" s="83">
        <v>16.55</v>
      </c>
      <c r="AG13" s="83">
        <v>32.57</v>
      </c>
      <c r="AH13" s="83">
        <v>6.94</v>
      </c>
    </row>
    <row r="14" spans="1:34" x14ac:dyDescent="0.25">
      <c r="R14" s="87" t="s">
        <v>106</v>
      </c>
      <c r="S14" s="86"/>
      <c r="T14" s="83">
        <v>29.66</v>
      </c>
      <c r="U14" s="82">
        <v>34.880000000000003</v>
      </c>
      <c r="V14" s="83">
        <v>43.11</v>
      </c>
      <c r="W14" s="82">
        <v>47.25</v>
      </c>
      <c r="X14" s="81">
        <v>49.514000000000003</v>
      </c>
      <c r="AB14" s="88">
        <v>9</v>
      </c>
      <c r="AC14" s="82">
        <v>49.91</v>
      </c>
      <c r="AD14" s="82">
        <v>10.85</v>
      </c>
      <c r="AE14" s="82">
        <v>47.25</v>
      </c>
      <c r="AF14" s="82">
        <v>1.51</v>
      </c>
      <c r="AG14" s="82">
        <v>34.299999999999997</v>
      </c>
      <c r="AH14" s="82">
        <v>0.2</v>
      </c>
    </row>
    <row r="15" spans="1:34" x14ac:dyDescent="0.25">
      <c r="R15" s="84" t="s">
        <v>103</v>
      </c>
      <c r="S15" s="84" t="s">
        <v>105</v>
      </c>
      <c r="T15" s="83">
        <v>20.88</v>
      </c>
      <c r="U15" s="82">
        <v>32.92</v>
      </c>
      <c r="V15" s="83">
        <v>16.55</v>
      </c>
      <c r="W15" s="82">
        <v>1.51</v>
      </c>
      <c r="X15" s="81">
        <v>2.3769999999999998</v>
      </c>
      <c r="AB15" s="85">
        <v>10</v>
      </c>
      <c r="AC15" s="81">
        <v>66.188999999999993</v>
      </c>
      <c r="AD15" s="81">
        <v>21.585999999999999</v>
      </c>
      <c r="AE15" s="81">
        <v>49.514000000000003</v>
      </c>
      <c r="AF15" s="81">
        <v>2.3769999999999998</v>
      </c>
      <c r="AG15" s="81">
        <v>32.948</v>
      </c>
      <c r="AH15" s="81">
        <v>0.88200000000000001</v>
      </c>
    </row>
    <row r="16" spans="1:34" x14ac:dyDescent="0.25">
      <c r="R16" s="87" t="s">
        <v>104</v>
      </c>
      <c r="S16" s="86"/>
      <c r="T16" s="83">
        <v>40.21</v>
      </c>
      <c r="U16" s="82">
        <v>45.57</v>
      </c>
      <c r="V16" s="83">
        <v>32.57</v>
      </c>
      <c r="W16" s="82">
        <v>34.299999999999997</v>
      </c>
      <c r="X16" s="81">
        <v>32.948</v>
      </c>
      <c r="AB16" s="85">
        <v>10</v>
      </c>
      <c r="AC16" s="81">
        <v>27.248000000000001</v>
      </c>
      <c r="AD16" s="81">
        <v>20.529</v>
      </c>
      <c r="AE16" s="81">
        <v>85.986999999999995</v>
      </c>
      <c r="AF16" s="81">
        <v>16.876000000000001</v>
      </c>
      <c r="AG16" s="81">
        <v>118.76</v>
      </c>
      <c r="AH16" s="81">
        <v>84.409000000000006</v>
      </c>
    </row>
    <row r="17" spans="11:26" x14ac:dyDescent="0.25">
      <c r="R17" s="84" t="s">
        <v>103</v>
      </c>
      <c r="S17" s="84" t="s">
        <v>102</v>
      </c>
      <c r="T17" s="83">
        <v>21.43</v>
      </c>
      <c r="U17" s="82">
        <v>2.34</v>
      </c>
      <c r="V17" s="83">
        <v>6.94</v>
      </c>
      <c r="W17" s="82">
        <v>0.2</v>
      </c>
      <c r="X17" s="81">
        <v>0.88200000000000001</v>
      </c>
    </row>
    <row r="18" spans="11:26" ht="15.75" thickBot="1" x14ac:dyDescent="0.3"/>
    <row r="19" spans="11:26" ht="21" thickBot="1" x14ac:dyDescent="0.3">
      <c r="R19" s="80" t="s">
        <v>101</v>
      </c>
      <c r="S19" s="79" t="s">
        <v>100</v>
      </c>
      <c r="T19" s="79" t="s">
        <v>99</v>
      </c>
      <c r="U19" s="79" t="s">
        <v>98</v>
      </c>
      <c r="V19" s="79" t="s">
        <v>97</v>
      </c>
      <c r="W19" s="79" t="s">
        <v>96</v>
      </c>
    </row>
    <row r="20" spans="11:26" ht="19.5" thickBot="1" x14ac:dyDescent="0.3">
      <c r="R20" s="78">
        <f t="shared" ref="R20:R28" si="0">(AC8-AC7+AD7)/AC7</f>
        <v>-0.25648351648351647</v>
      </c>
      <c r="S20" s="78">
        <f t="shared" ref="S20:S28" si="1">(AE8-AE7+AF7)/AE7</f>
        <v>0.57999999999999996</v>
      </c>
      <c r="T20" s="78">
        <f t="shared" ref="T20:T28" si="2">(AG8-AG7+AH7)/AG7</f>
        <v>-0.43369047619047629</v>
      </c>
      <c r="U20" s="77">
        <f t="shared" ref="U20:U28" si="3">R20-N32</f>
        <v>-0.42672432050441056</v>
      </c>
      <c r="V20" s="77">
        <f t="shared" ref="V20:V28" si="4">S20-O32</f>
        <v>-6.0858429062435326E-2</v>
      </c>
      <c r="W20" s="77">
        <f t="shared" ref="W20:W28" si="5">T20-P32</f>
        <v>-0.87448179481249189</v>
      </c>
      <c r="X20">
        <f t="shared" ref="X20:X29" si="6">U20*U20</f>
        <v>0.1820936457099509</v>
      </c>
      <c r="Y20">
        <f t="shared" ref="Y20:Y29" si="7">V20*V20</f>
        <v>3.703748387947473E-3</v>
      </c>
      <c r="Z20">
        <f t="shared" ref="Z20:Z29" si="8">W20*W20</f>
        <v>0.76471840945847713</v>
      </c>
    </row>
    <row r="21" spans="11:26" ht="19.5" thickBot="1" x14ac:dyDescent="0.3">
      <c r="R21" s="78">
        <f t="shared" si="0"/>
        <v>-0.25635694866464098</v>
      </c>
      <c r="S21" s="78">
        <f t="shared" si="1"/>
        <v>0.18023083752589522</v>
      </c>
      <c r="T21" s="78">
        <f t="shared" si="2"/>
        <v>0.56611883691529719</v>
      </c>
      <c r="U21" s="77">
        <f t="shared" si="3"/>
        <v>-0.25635694866464098</v>
      </c>
      <c r="V21" s="77">
        <f t="shared" si="4"/>
        <v>0.18023083752589522</v>
      </c>
      <c r="W21" s="77">
        <f t="shared" si="5"/>
        <v>0.56611883691529719</v>
      </c>
      <c r="X21">
        <f t="shared" si="6"/>
        <v>6.5718885128645377E-2</v>
      </c>
      <c r="Y21">
        <f t="shared" si="7"/>
        <v>3.2483154795285643E-2</v>
      </c>
      <c r="Z21">
        <f t="shared" si="8"/>
        <v>0.32049053751032885</v>
      </c>
    </row>
    <row r="22" spans="11:26" ht="19.5" thickBot="1" x14ac:dyDescent="0.3">
      <c r="R22" s="78">
        <f t="shared" si="0"/>
        <v>-0.25658648339060702</v>
      </c>
      <c r="S22" s="78">
        <f t="shared" si="1"/>
        <v>1.1798649478207492</v>
      </c>
      <c r="T22" s="78">
        <f t="shared" si="2"/>
        <v>0.1659538066723695</v>
      </c>
      <c r="U22" s="77">
        <f t="shared" si="3"/>
        <v>-0.25658648339060702</v>
      </c>
      <c r="V22" s="77">
        <f t="shared" si="4"/>
        <v>1.1798649478207492</v>
      </c>
      <c r="W22" s="77">
        <f t="shared" si="5"/>
        <v>0.1659538066723695</v>
      </c>
      <c r="X22">
        <f t="shared" si="6"/>
        <v>6.5836623458758251E-2</v>
      </c>
      <c r="Y22">
        <f t="shared" si="7"/>
        <v>1.3920812950960593</v>
      </c>
      <c r="Z22">
        <f t="shared" si="8"/>
        <v>2.7540665949050191E-2</v>
      </c>
    </row>
    <row r="23" spans="11:26" ht="19.5" thickBot="1" x14ac:dyDescent="0.3">
      <c r="K23" t="s">
        <v>95</v>
      </c>
      <c r="L23" t="s">
        <v>94</v>
      </c>
      <c r="M23" t="s">
        <v>93</v>
      </c>
      <c r="R23" s="78">
        <f t="shared" si="0"/>
        <v>0.58952234206471488</v>
      </c>
      <c r="S23" s="78">
        <f t="shared" si="1"/>
        <v>0.42346323824829246</v>
      </c>
      <c r="T23" s="78">
        <f t="shared" si="2"/>
        <v>0.37256637168141604</v>
      </c>
      <c r="U23" s="77">
        <f t="shared" si="3"/>
        <v>0.58952234206471488</v>
      </c>
      <c r="V23" s="77">
        <f t="shared" si="4"/>
        <v>0.42346323824829246</v>
      </c>
      <c r="W23" s="77">
        <f t="shared" si="5"/>
        <v>0.37256637168141604</v>
      </c>
      <c r="X23">
        <f t="shared" si="6"/>
        <v>0.34753659179346669</v>
      </c>
      <c r="Y23">
        <f t="shared" si="7"/>
        <v>0.17932111414773011</v>
      </c>
      <c r="Z23">
        <f t="shared" si="8"/>
        <v>0.13880570130785505</v>
      </c>
    </row>
    <row r="24" spans="11:26" ht="19.5" thickBot="1" x14ac:dyDescent="0.3">
      <c r="R24" s="78">
        <f t="shared" si="0"/>
        <v>0.64361309377307396</v>
      </c>
      <c r="S24" s="78">
        <f t="shared" si="1"/>
        <v>0.87997302764666219</v>
      </c>
      <c r="T24" s="78">
        <f t="shared" si="2"/>
        <v>0.66625217607560305</v>
      </c>
      <c r="U24" s="77">
        <f t="shared" si="3"/>
        <v>0.64361309377307396</v>
      </c>
      <c r="V24" s="77">
        <f t="shared" si="4"/>
        <v>0.87997302764666219</v>
      </c>
      <c r="W24" s="77">
        <f t="shared" si="5"/>
        <v>0.66625217607560305</v>
      </c>
      <c r="X24">
        <f t="shared" si="6"/>
        <v>0.41423781447614771</v>
      </c>
      <c r="Y24">
        <f t="shared" si="7"/>
        <v>0.77435252938563326</v>
      </c>
      <c r="Z24">
        <f t="shared" si="8"/>
        <v>0.44389196212547638</v>
      </c>
    </row>
    <row r="25" spans="11:26" ht="19.5" thickBot="1" x14ac:dyDescent="0.3">
      <c r="R25" s="78">
        <f t="shared" si="0"/>
        <v>-5.6258177060619252E-2</v>
      </c>
      <c r="S25" s="78">
        <f t="shared" si="1"/>
        <v>1.1797591743119265</v>
      </c>
      <c r="T25" s="78">
        <f t="shared" si="2"/>
        <v>-0.23392582839587447</v>
      </c>
      <c r="U25" s="77">
        <f t="shared" si="3"/>
        <v>-5.6258177060619252E-2</v>
      </c>
      <c r="V25" s="77">
        <f t="shared" si="4"/>
        <v>1.1797591743119265</v>
      </c>
      <c r="W25" s="77">
        <f t="shared" si="5"/>
        <v>-0.23392582839587447</v>
      </c>
      <c r="X25">
        <f t="shared" si="6"/>
        <v>3.1649824861839861E-3</v>
      </c>
      <c r="Y25">
        <f t="shared" si="7"/>
        <v>1.3918317093731585</v>
      </c>
      <c r="Z25">
        <f t="shared" si="8"/>
        <v>5.4721293190696116E-2</v>
      </c>
    </row>
    <row r="26" spans="11:26" ht="19.5" thickBot="1" x14ac:dyDescent="0.3">
      <c r="R26" s="78">
        <f t="shared" si="0"/>
        <v>0.84336221025520941</v>
      </c>
      <c r="S26" s="78">
        <f t="shared" si="1"/>
        <v>0.47993504987241942</v>
      </c>
      <c r="T26" s="78">
        <f t="shared" si="2"/>
        <v>0.26619588578446418</v>
      </c>
      <c r="U26" s="77">
        <f t="shared" si="3"/>
        <v>0.84336221025520941</v>
      </c>
      <c r="V26" s="77">
        <f t="shared" si="4"/>
        <v>0.47993504987241942</v>
      </c>
      <c r="W26" s="77">
        <f t="shared" si="5"/>
        <v>0.26619588578446418</v>
      </c>
      <c r="X26">
        <f t="shared" si="6"/>
        <v>0.711259817686552</v>
      </c>
      <c r="Y26">
        <f t="shared" si="7"/>
        <v>0.23033765209604171</v>
      </c>
      <c r="Z26">
        <f t="shared" si="8"/>
        <v>7.0860249608575496E-2</v>
      </c>
    </row>
    <row r="27" spans="11:26" ht="19.5" thickBot="1" x14ac:dyDescent="0.3">
      <c r="R27" s="78">
        <f t="shared" si="0"/>
        <v>0.54355840512923259</v>
      </c>
      <c r="S27" s="78">
        <f t="shared" si="1"/>
        <v>7.9873015873015929E-2</v>
      </c>
      <c r="T27" s="78">
        <f t="shared" si="2"/>
        <v>-3.3586005830903702E-2</v>
      </c>
      <c r="U27" s="77">
        <f t="shared" si="3"/>
        <v>0.54355840512923259</v>
      </c>
      <c r="V27" s="77">
        <f t="shared" si="4"/>
        <v>7.9873015873015929E-2</v>
      </c>
      <c r="W27" s="77">
        <f t="shared" si="5"/>
        <v>-3.3586005830903702E-2</v>
      </c>
      <c r="X27">
        <f t="shared" si="6"/>
        <v>0.29545573978663497</v>
      </c>
      <c r="Y27">
        <f t="shared" si="7"/>
        <v>6.3796986646510543E-3</v>
      </c>
      <c r="Z27">
        <f t="shared" si="8"/>
        <v>1.1280197876734975E-3</v>
      </c>
    </row>
    <row r="28" spans="11:26" ht="19.5" thickBot="1" x14ac:dyDescent="0.3">
      <c r="R28" s="78">
        <f t="shared" si="0"/>
        <v>-0.26220368943480021</v>
      </c>
      <c r="S28" s="78">
        <f t="shared" si="1"/>
        <v>0.78462657026295579</v>
      </c>
      <c r="T28" s="78">
        <f t="shared" si="2"/>
        <v>2.6312371008862456</v>
      </c>
      <c r="U28" s="77">
        <f t="shared" si="3"/>
        <v>-0.26220368943480021</v>
      </c>
      <c r="V28" s="77">
        <f t="shared" si="4"/>
        <v>0.78462657026295579</v>
      </c>
      <c r="W28" s="77">
        <f t="shared" si="5"/>
        <v>2.6312371008862456</v>
      </c>
      <c r="X28">
        <f t="shared" si="6"/>
        <v>6.8750774753221167E-2</v>
      </c>
      <c r="Y28">
        <f t="shared" si="7"/>
        <v>0.61563885476260916</v>
      </c>
      <c r="Z28">
        <f t="shared" si="8"/>
        <v>6.9234086810802546</v>
      </c>
    </row>
    <row r="29" spans="11:26" ht="19.5" thickBot="1" x14ac:dyDescent="0.3">
      <c r="R29" s="78"/>
      <c r="S29" s="78"/>
      <c r="T29" s="78"/>
      <c r="U29" s="77"/>
      <c r="V29" s="77"/>
      <c r="W29" s="77"/>
      <c r="X29">
        <f t="shared" si="6"/>
        <v>0</v>
      </c>
      <c r="Y29">
        <f t="shared" si="7"/>
        <v>0</v>
      </c>
      <c r="Z29">
        <f t="shared" si="8"/>
        <v>0</v>
      </c>
    </row>
    <row r="30" spans="11:26" x14ac:dyDescent="0.25">
      <c r="X30">
        <f>SUM(X20:X29)</f>
        <v>2.1540548752795612</v>
      </c>
      <c r="Y30">
        <f>SUM(Y20:Y29)</f>
        <v>4.6261297567091155</v>
      </c>
      <c r="Z30">
        <f>SUM(Z20:Z29)</f>
        <v>8.7455655200183884</v>
      </c>
    </row>
    <row r="31" spans="11:26" x14ac:dyDescent="0.25">
      <c r="N31" s="76">
        <f>SUM(R20:R28)</f>
        <v>1.5321672361880467</v>
      </c>
      <c r="O31" s="76">
        <f>SUM(S20:S28)</f>
        <v>5.7677258615619174</v>
      </c>
      <c r="P31" s="76">
        <f>SUM(T20:T28)</f>
        <v>3.967121867598141</v>
      </c>
      <c r="T31" s="76">
        <f>SUM(R20:R28)</f>
        <v>1.5321672361880467</v>
      </c>
      <c r="U31" s="76">
        <f>SUM(S20:S28)</f>
        <v>5.7677258615619174</v>
      </c>
      <c r="V31" s="76">
        <f>SUM(T20:T28)</f>
        <v>3.967121867598141</v>
      </c>
      <c r="X31">
        <f>SUM(X20:X29)/9</f>
        <v>0.23933943058661791</v>
      </c>
      <c r="Y31">
        <f>SUM(Y20:Y29)/9</f>
        <v>0.51401441741212395</v>
      </c>
      <c r="Z31">
        <f>SUM(Z20:Z29)/9</f>
        <v>0.97172950222426535</v>
      </c>
    </row>
    <row r="32" spans="11:26" x14ac:dyDescent="0.25">
      <c r="N32">
        <f>SUM(R20:R28)/9</f>
        <v>0.17024080402089409</v>
      </c>
      <c r="O32">
        <f>SUM(S20:S28)/9</f>
        <v>0.64085842906243529</v>
      </c>
      <c r="P32">
        <f>SUM(T20:T28)/9</f>
        <v>0.44079131862201565</v>
      </c>
    </row>
    <row r="34" spans="4:26" x14ac:dyDescent="0.25">
      <c r="U34">
        <v>12</v>
      </c>
      <c r="V34">
        <f t="shared" ref="V34:V43" si="9">U20*V20</f>
        <v>2.5969771788633588E-2</v>
      </c>
      <c r="W34">
        <v>13</v>
      </c>
      <c r="X34">
        <f t="shared" ref="X34:X43" si="10">U20*W20</f>
        <v>0.37316264968483798</v>
      </c>
      <c r="Y34">
        <v>23</v>
      </c>
      <c r="Z34">
        <f t="shared" ref="Z34:Z43" si="11">V20*W20</f>
        <v>5.3219588275987162E-2</v>
      </c>
    </row>
    <row r="35" spans="4:26" x14ac:dyDescent="0.25">
      <c r="V35">
        <f t="shared" si="9"/>
        <v>-4.620342756341117E-2</v>
      </c>
      <c r="X35">
        <f t="shared" si="10"/>
        <v>-0.14512849761318111</v>
      </c>
      <c r="Z35">
        <f t="shared" si="11"/>
        <v>0.1020320721164297</v>
      </c>
    </row>
    <row r="36" spans="4:26" x14ac:dyDescent="0.25">
      <c r="V36">
        <f t="shared" si="9"/>
        <v>-0.30273739783716808</v>
      </c>
      <c r="X36">
        <f t="shared" si="10"/>
        <v>-4.2581503659347944E-2</v>
      </c>
      <c r="Z36">
        <f t="shared" si="11"/>
        <v>0.19580307945014996</v>
      </c>
    </row>
    <row r="37" spans="4:26" x14ac:dyDescent="0.25">
      <c r="V37">
        <f t="shared" si="9"/>
        <v>0.24964103999044171</v>
      </c>
      <c r="X37">
        <f t="shared" si="10"/>
        <v>0.21963620000818146</v>
      </c>
      <c r="Z37">
        <f t="shared" si="11"/>
        <v>0.15776816221462936</v>
      </c>
    </row>
    <row r="38" spans="4:26" x14ac:dyDescent="0.25">
      <c r="V38">
        <f t="shared" si="9"/>
        <v>0.56636216276052698</v>
      </c>
      <c r="X38">
        <f t="shared" si="10"/>
        <v>0.42880862427706168</v>
      </c>
      <c r="Z38">
        <f t="shared" si="11"/>
        <v>0.5862839445574255</v>
      </c>
    </row>
    <row r="39" spans="4:26" x14ac:dyDescent="0.25">
      <c r="R39" s="76">
        <f>SUM(R20:R29)</f>
        <v>1.5321672361880467</v>
      </c>
      <c r="S39" s="76">
        <f>SUM(S20:S29)</f>
        <v>5.7677258615619174</v>
      </c>
      <c r="T39" s="76">
        <f>SUM(T20:T29)</f>
        <v>3.967121867598141</v>
      </c>
      <c r="V39">
        <f t="shared" si="9"/>
        <v>-6.6371100517330334E-2</v>
      </c>
      <c r="X39">
        <f t="shared" si="10"/>
        <v>1.3160240672947141E-2</v>
      </c>
      <c r="Z39">
        <f t="shared" si="11"/>
        <v>-0.27597614215855026</v>
      </c>
    </row>
    <row r="40" spans="4:26" x14ac:dyDescent="0.25">
      <c r="V40">
        <f t="shared" si="9"/>
        <v>0.40475908443934777</v>
      </c>
      <c r="X40">
        <f t="shared" si="10"/>
        <v>0.224499550596029</v>
      </c>
      <c r="Z40">
        <f t="shared" si="11"/>
        <v>0.12775673571979967</v>
      </c>
    </row>
    <row r="41" spans="4:26" x14ac:dyDescent="0.25">
      <c r="E41" t="s">
        <v>57</v>
      </c>
      <c r="F41" t="s">
        <v>50</v>
      </c>
      <c r="G41" t="s">
        <v>92</v>
      </c>
      <c r="V41">
        <f t="shared" si="9"/>
        <v>4.341564912079842E-2</v>
      </c>
      <c r="X41">
        <f t="shared" si="10"/>
        <v>-1.8255955764107122E-2</v>
      </c>
      <c r="Z41">
        <f t="shared" si="11"/>
        <v>-2.6826155768429768E-3</v>
      </c>
    </row>
    <row r="42" spans="4:26" x14ac:dyDescent="0.25">
      <c r="D42" t="s">
        <v>43</v>
      </c>
      <c r="E42">
        <v>-0.17</v>
      </c>
      <c r="F42" s="27">
        <v>-0.64</v>
      </c>
      <c r="G42">
        <v>-0.44</v>
      </c>
      <c r="H42">
        <v>-0.53269999999999995</v>
      </c>
      <c r="M42">
        <f>0.51*0.823*0.823</f>
        <v>0.34543778999999997</v>
      </c>
      <c r="V42">
        <f t="shared" si="9"/>
        <v>-0.2057319815515205</v>
      </c>
      <c r="X42">
        <f t="shared" si="10"/>
        <v>-0.68992007563010127</v>
      </c>
      <c r="Z42">
        <f t="shared" si="11"/>
        <v>2.0645385420170177</v>
      </c>
    </row>
    <row r="43" spans="4:26" x14ac:dyDescent="0.25">
      <c r="D43" t="s">
        <v>42</v>
      </c>
      <c r="E43">
        <v>1</v>
      </c>
      <c r="F43">
        <v>1</v>
      </c>
      <c r="G43">
        <v>1</v>
      </c>
      <c r="H43">
        <v>1</v>
      </c>
      <c r="V43">
        <f t="shared" si="9"/>
        <v>0</v>
      </c>
      <c r="X43">
        <f t="shared" si="10"/>
        <v>0</v>
      </c>
      <c r="Z43">
        <f t="shared" si="11"/>
        <v>0</v>
      </c>
    </row>
    <row r="44" spans="4:26" x14ac:dyDescent="0.25">
      <c r="N44">
        <v>0.23899999999999999</v>
      </c>
      <c r="O44">
        <v>0.14000000000000001</v>
      </c>
      <c r="P44">
        <v>0.08</v>
      </c>
      <c r="R44">
        <v>0.82340000000000002</v>
      </c>
      <c r="V44">
        <f>SUM(V34:V43)</f>
        <v>0.66910380063031838</v>
      </c>
      <c r="X44">
        <f>SUM(X34:X43)</f>
        <v>0.36338123257231991</v>
      </c>
      <c r="Z44">
        <f>SUM(Z34:Z43)</f>
        <v>3.0087433666160459</v>
      </c>
    </row>
    <row r="45" spans="4:26" x14ac:dyDescent="0.25">
      <c r="E45" t="s">
        <v>57</v>
      </c>
      <c r="F45" t="s">
        <v>43</v>
      </c>
      <c r="G45" t="s">
        <v>92</v>
      </c>
      <c r="N45">
        <v>0.51</v>
      </c>
      <c r="O45">
        <v>0.14000000000000001</v>
      </c>
      <c r="P45">
        <v>0.68</v>
      </c>
      <c r="R45">
        <f>O44*R44</f>
        <v>0.11527600000000002</v>
      </c>
      <c r="V45">
        <f>V44/9</f>
        <v>7.4344866736702042E-2</v>
      </c>
      <c r="X45">
        <f>X44/9</f>
        <v>4.0375692508035549E-2</v>
      </c>
      <c r="Z45">
        <f>Z44/9</f>
        <v>0.33430481851289401</v>
      </c>
    </row>
    <row r="46" spans="4:26" x14ac:dyDescent="0.25">
      <c r="D46" t="s">
        <v>50</v>
      </c>
      <c r="H46">
        <f>H42/F42</f>
        <v>0.83234374999999994</v>
      </c>
      <c r="J46">
        <f>H46-H62</f>
        <v>6.0641622340425583E-2</v>
      </c>
      <c r="N46">
        <v>0.97099999999999997</v>
      </c>
      <c r="O46">
        <v>0.08</v>
      </c>
      <c r="P46">
        <v>0.68799999999999994</v>
      </c>
      <c r="R46">
        <f>R44*N45*2</f>
        <v>0.83986800000000006</v>
      </c>
    </row>
    <row r="47" spans="4:26" x14ac:dyDescent="0.25">
      <c r="D47" t="s">
        <v>42</v>
      </c>
      <c r="H47">
        <f>H43-H42*F43/F42</f>
        <v>0.16765625000000006</v>
      </c>
      <c r="R47">
        <f>P46*R44</f>
        <v>0.56649919999999998</v>
      </c>
    </row>
    <row r="51" spans="4:17" x14ac:dyDescent="0.25">
      <c r="E51" t="s">
        <v>57</v>
      </c>
      <c r="F51" t="s">
        <v>50</v>
      </c>
      <c r="G51" t="s">
        <v>92</v>
      </c>
    </row>
    <row r="52" spans="4:17" x14ac:dyDescent="0.25">
      <c r="D52" t="s">
        <v>43</v>
      </c>
      <c r="E52">
        <v>-0.17</v>
      </c>
      <c r="F52" s="27">
        <v>-0.64</v>
      </c>
      <c r="G52">
        <v>-0.44</v>
      </c>
      <c r="H52">
        <v>-0.53269999999999995</v>
      </c>
      <c r="J52">
        <v>0.23899999999999999</v>
      </c>
      <c r="K52">
        <v>0.14000000000000001</v>
      </c>
    </row>
    <row r="53" spans="4:17" x14ac:dyDescent="0.25">
      <c r="D53" t="s">
        <v>42</v>
      </c>
      <c r="E53">
        <v>1</v>
      </c>
      <c r="F53">
        <v>1</v>
      </c>
      <c r="G53">
        <v>1</v>
      </c>
      <c r="H53">
        <v>1</v>
      </c>
      <c r="J53">
        <v>0.51</v>
      </c>
    </row>
    <row r="54" spans="4:17" x14ac:dyDescent="0.25">
      <c r="D54" t="s">
        <v>91</v>
      </c>
      <c r="E54">
        <v>0.11509999999999999</v>
      </c>
      <c r="F54">
        <v>0.83899999999999997</v>
      </c>
      <c r="G54">
        <v>0.56599999999999995</v>
      </c>
      <c r="H54">
        <v>0</v>
      </c>
    </row>
    <row r="56" spans="4:17" x14ac:dyDescent="0.25">
      <c r="E56" t="s">
        <v>57</v>
      </c>
      <c r="F56" t="s">
        <v>50</v>
      </c>
      <c r="G56" t="s">
        <v>92</v>
      </c>
      <c r="J56">
        <v>0.22900000000000001</v>
      </c>
      <c r="K56">
        <f>J56*J56</f>
        <v>5.2441000000000002E-2</v>
      </c>
      <c r="N56" s="27">
        <f>K56*J52</f>
        <v>1.2533399000000001E-2</v>
      </c>
      <c r="O56" s="27">
        <f>L57*J53</f>
        <v>-5.1481783332E-2</v>
      </c>
      <c r="Q56" s="27">
        <f>K57*J53</f>
        <v>0.35328887790000008</v>
      </c>
    </row>
    <row r="57" spans="4:17" x14ac:dyDescent="0.25">
      <c r="D57" t="s">
        <v>43</v>
      </c>
      <c r="E57">
        <f>E52/$F$52</f>
        <v>0.265625</v>
      </c>
      <c r="F57">
        <f>1/F52</f>
        <v>-1.5625</v>
      </c>
      <c r="G57">
        <f>G52/$F$52</f>
        <v>0.6875</v>
      </c>
      <c r="H57">
        <f>H52/$F$52</f>
        <v>0.83234374999999994</v>
      </c>
      <c r="J57">
        <v>0.83230000000000004</v>
      </c>
      <c r="K57">
        <f>J57*J57</f>
        <v>0.6927232900000001</v>
      </c>
      <c r="L57">
        <f>-J58*J57*2</f>
        <v>-0.1009446732</v>
      </c>
      <c r="M57">
        <f>J58*J58</f>
        <v>3.6774521640000001E-3</v>
      </c>
      <c r="N57" s="27">
        <f>M57*J53</f>
        <v>1.8755006036400002E-3</v>
      </c>
      <c r="O57">
        <f>J57*J61</f>
        <v>2.6683538000000007E-2</v>
      </c>
    </row>
    <row r="58" spans="4:17" x14ac:dyDescent="0.25">
      <c r="D58" t="s">
        <v>42</v>
      </c>
      <c r="E58" s="27">
        <f>E53-E$52*$F53/$F$52</f>
        <v>0.734375</v>
      </c>
      <c r="F58">
        <f>-F53/$F$52</f>
        <v>1.5625</v>
      </c>
      <c r="G58">
        <f>G53-G$52*$F53/$F$52</f>
        <v>0.3125</v>
      </c>
      <c r="H58">
        <f>H53-H$52*$F53/$F$52</f>
        <v>0.16765625000000006</v>
      </c>
      <c r="J58">
        <v>6.0642000000000001E-2</v>
      </c>
      <c r="O58">
        <f>J61*J58</f>
        <v>1.9441825200000003E-3</v>
      </c>
    </row>
    <row r="59" spans="4:17" x14ac:dyDescent="0.25">
      <c r="D59" t="s">
        <v>91</v>
      </c>
      <c r="E59">
        <f>E54-E$52*$F54/$F$52</f>
        <v>-0.107759375</v>
      </c>
      <c r="F59">
        <f>-F54/$F$52</f>
        <v>1.3109374999999999</v>
      </c>
      <c r="G59">
        <f>G54-G$52*$F54/$F$52</f>
        <v>-1.0812500000000003E-2</v>
      </c>
      <c r="H59">
        <f>H54-H$52*$F54/$F$52</f>
        <v>-0.69833640624999982</v>
      </c>
      <c r="N59">
        <f>SUM(N56:N58)</f>
        <v>1.440889960364E-2</v>
      </c>
      <c r="O59">
        <f>SUM(O56:O58)</f>
        <v>-2.2854062811999993E-2</v>
      </c>
      <c r="P59">
        <f>SUM(P56:P58)</f>
        <v>0</v>
      </c>
      <c r="Q59">
        <f>SUM(Q56:Q58)</f>
        <v>0.35328887790000008</v>
      </c>
    </row>
    <row r="60" spans="4:17" x14ac:dyDescent="0.25">
      <c r="J60">
        <v>0.22900000000000001</v>
      </c>
      <c r="K60">
        <f>J60*J57</f>
        <v>0.19059670000000001</v>
      </c>
      <c r="L60">
        <f>J58*J60</f>
        <v>1.3887018000000001E-2</v>
      </c>
    </row>
    <row r="61" spans="4:17" x14ac:dyDescent="0.25">
      <c r="E61" t="s">
        <v>43</v>
      </c>
      <c r="F61" t="s">
        <v>43</v>
      </c>
      <c r="G61" t="s">
        <v>92</v>
      </c>
      <c r="J61">
        <f>K52*J60</f>
        <v>3.2060000000000005E-2</v>
      </c>
      <c r="L61">
        <f>J58*J61</f>
        <v>1.9441825200000003E-3</v>
      </c>
    </row>
    <row r="62" spans="4:17" x14ac:dyDescent="0.25">
      <c r="D62" t="s">
        <v>50</v>
      </c>
      <c r="E62">
        <f>-E57/$E$58</f>
        <v>-0.36170212765957449</v>
      </c>
      <c r="F62">
        <f>F57-F$58*$E57/$E$58</f>
        <v>-2.1276595744680851</v>
      </c>
      <c r="G62">
        <f>G57-G$58*$E57/$E$58</f>
        <v>0.57446808510638303</v>
      </c>
      <c r="H62">
        <f>H57-H$58*$E57/$E$58</f>
        <v>0.77170212765957436</v>
      </c>
      <c r="N62">
        <f>N59*2+O59</f>
        <v>5.9637363952800074E-3</v>
      </c>
    </row>
    <row r="63" spans="4:17" x14ac:dyDescent="0.25">
      <c r="D63" t="s">
        <v>57</v>
      </c>
      <c r="E63" s="27">
        <f>1/E58</f>
        <v>1.3617021276595744</v>
      </c>
      <c r="F63">
        <f>F58/$E$58</f>
        <v>2.1276595744680851</v>
      </c>
      <c r="G63">
        <f>G58/$E$58</f>
        <v>0.42553191489361702</v>
      </c>
      <c r="H63">
        <f>H58/$E$58</f>
        <v>0.22829787234042562</v>
      </c>
    </row>
    <row r="64" spans="4:17" x14ac:dyDescent="0.25">
      <c r="D64" t="s">
        <v>91</v>
      </c>
      <c r="E64">
        <f>-E59/$E$58</f>
        <v>0.14673617021276597</v>
      </c>
      <c r="F64">
        <f>F59-F$58*$E59/$E$58</f>
        <v>1.5402127659574467</v>
      </c>
      <c r="G64">
        <f>G59-G$58*$E59/$E$58</f>
        <v>3.5042553191489363E-2</v>
      </c>
      <c r="H64">
        <f>H59-H$58*$E59/$E$58</f>
        <v>-0.67373517021276574</v>
      </c>
    </row>
    <row r="66" spans="11:13" x14ac:dyDescent="0.25">
      <c r="L66">
        <f>J58*0.11</f>
        <v>6.6706200000000004E-3</v>
      </c>
      <c r="M66">
        <f>0.229*0.11</f>
        <v>2.5190000000000001E-2</v>
      </c>
    </row>
    <row r="67" spans="11:13" x14ac:dyDescent="0.25">
      <c r="L67">
        <f>J57+L66</f>
        <v>0.83897062</v>
      </c>
    </row>
    <row r="69" spans="11:13" x14ac:dyDescent="0.25">
      <c r="L69">
        <f>M66*J52*M66</f>
        <v>1.5165412789999998E-4</v>
      </c>
    </row>
    <row r="70" spans="11:13" x14ac:dyDescent="0.25">
      <c r="L70">
        <f>J53*L67*L67</f>
        <v>0.35897456762382407</v>
      </c>
    </row>
    <row r="71" spans="11:13" x14ac:dyDescent="0.25">
      <c r="L71">
        <f>K52*L67*M66</f>
        <v>2.9587137884920004E-3</v>
      </c>
    </row>
    <row r="72" spans="11:13" x14ac:dyDescent="0.25">
      <c r="L72">
        <f>SUM(L69:L71)</f>
        <v>0.36208493554021609</v>
      </c>
    </row>
    <row r="73" spans="11:13" x14ac:dyDescent="0.25">
      <c r="L73">
        <v>0.35408000000000001</v>
      </c>
    </row>
    <row r="74" spans="11:13" x14ac:dyDescent="0.25">
      <c r="L74">
        <f>L73-M42</f>
        <v>8.642210000000039E-3</v>
      </c>
    </row>
    <row r="78" spans="11:13" x14ac:dyDescent="0.25">
      <c r="K78">
        <v>54000</v>
      </c>
    </row>
    <row r="80" spans="11:13" x14ac:dyDescent="0.25">
      <c r="K80">
        <f>K78*0.025/80.58</f>
        <v>16.753536857781086</v>
      </c>
    </row>
    <row r="81" spans="11:11" x14ac:dyDescent="0.25">
      <c r="K81">
        <f>K78*0.839/51.1</f>
        <v>886.61448140900188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2"/>
  <sheetViews>
    <sheetView workbookViewId="0">
      <selection activeCell="X30" sqref="X30"/>
    </sheetView>
  </sheetViews>
  <sheetFormatPr defaultRowHeight="15" x14ac:dyDescent="0.25"/>
  <cols>
    <col min="1" max="16384" width="9.140625" style="92"/>
  </cols>
  <sheetData>
    <row r="1" spans="1:30" ht="15.75" thickBot="1" x14ac:dyDescent="0.3"/>
    <row r="2" spans="1:30" ht="15.75" customHeight="1" x14ac:dyDescent="0.25">
      <c r="A2" s="101"/>
      <c r="B2" s="100" t="s">
        <v>145</v>
      </c>
      <c r="C2" s="100" t="s">
        <v>183</v>
      </c>
      <c r="D2" s="100" t="s">
        <v>182</v>
      </c>
      <c r="E2" s="100" t="s">
        <v>181</v>
      </c>
      <c r="F2" s="100" t="s">
        <v>180</v>
      </c>
      <c r="G2" s="100" t="s">
        <v>179</v>
      </c>
      <c r="H2" s="100" t="s">
        <v>178</v>
      </c>
      <c r="I2" s="100" t="s">
        <v>177</v>
      </c>
      <c r="J2" s="100" t="s">
        <v>176</v>
      </c>
      <c r="K2" s="100" t="s">
        <v>175</v>
      </c>
      <c r="L2" s="100" t="s">
        <v>174</v>
      </c>
      <c r="M2" s="100" t="s">
        <v>173</v>
      </c>
      <c r="N2" s="100" t="s">
        <v>172</v>
      </c>
      <c r="O2" s="100" t="s">
        <v>171</v>
      </c>
      <c r="P2" s="100" t="s">
        <v>170</v>
      </c>
      <c r="Q2" s="100" t="s">
        <v>169</v>
      </c>
      <c r="R2" s="100" t="s">
        <v>168</v>
      </c>
      <c r="S2" s="100" t="s">
        <v>167</v>
      </c>
      <c r="T2" s="100" t="s">
        <v>166</v>
      </c>
      <c r="U2" s="100" t="s">
        <v>165</v>
      </c>
      <c r="V2" s="100" t="s">
        <v>164</v>
      </c>
      <c r="W2" s="99" t="s">
        <v>163</v>
      </c>
    </row>
    <row r="3" spans="1:30" x14ac:dyDescent="0.25">
      <c r="A3" s="97" t="s">
        <v>162</v>
      </c>
      <c r="B3" s="139">
        <v>0</v>
      </c>
      <c r="C3" s="139">
        <v>33</v>
      </c>
      <c r="D3" s="139">
        <v>28</v>
      </c>
      <c r="E3" s="139">
        <v>11</v>
      </c>
      <c r="F3" s="139">
        <v>44</v>
      </c>
      <c r="G3" s="139">
        <v>11</v>
      </c>
      <c r="H3" s="139">
        <v>33</v>
      </c>
      <c r="I3" s="139">
        <v>0</v>
      </c>
      <c r="J3" s="139">
        <v>28</v>
      </c>
      <c r="K3" s="139">
        <v>11</v>
      </c>
      <c r="L3" s="139">
        <v>0</v>
      </c>
      <c r="M3" s="139">
        <v>61</v>
      </c>
      <c r="N3" s="139">
        <v>11</v>
      </c>
      <c r="O3" s="139">
        <v>33</v>
      </c>
      <c r="P3" s="139">
        <v>33</v>
      </c>
      <c r="Q3" s="139">
        <v>11</v>
      </c>
      <c r="R3" s="139">
        <v>22</v>
      </c>
      <c r="S3" s="139">
        <v>22</v>
      </c>
      <c r="T3" s="139">
        <v>25</v>
      </c>
      <c r="U3" s="139">
        <v>33</v>
      </c>
      <c r="V3" s="139">
        <v>17</v>
      </c>
      <c r="W3" s="138">
        <v>11</v>
      </c>
    </row>
    <row r="4" spans="1:30" x14ac:dyDescent="0.25">
      <c r="A4" s="97" t="s">
        <v>37</v>
      </c>
      <c r="C4" s="92">
        <v>-1</v>
      </c>
      <c r="G4" s="92">
        <v>1</v>
      </c>
      <c r="R4" s="92">
        <v>1</v>
      </c>
      <c r="W4" s="96"/>
      <c r="X4" s="92">
        <f t="shared" ref="X4:X21" si="0">SUMPRODUCT(B$3:W$3,B4:W4)</f>
        <v>0</v>
      </c>
      <c r="Y4" s="92">
        <v>0</v>
      </c>
    </row>
    <row r="5" spans="1:30" x14ac:dyDescent="0.25">
      <c r="A5" s="97" t="s">
        <v>39</v>
      </c>
      <c r="D5" s="92">
        <v>-1</v>
      </c>
      <c r="I5" s="92">
        <v>1</v>
      </c>
      <c r="T5" s="92">
        <v>1</v>
      </c>
      <c r="W5" s="96"/>
      <c r="X5" s="92">
        <f t="shared" si="0"/>
        <v>-3</v>
      </c>
      <c r="Y5" s="92">
        <v>0</v>
      </c>
    </row>
    <row r="6" spans="1:30" x14ac:dyDescent="0.25">
      <c r="D6" s="92">
        <v>-1</v>
      </c>
      <c r="K6" s="92">
        <v>1</v>
      </c>
      <c r="V6" s="92">
        <v>1</v>
      </c>
      <c r="X6" s="92">
        <f t="shared" si="0"/>
        <v>0</v>
      </c>
      <c r="Y6" s="92">
        <v>0</v>
      </c>
    </row>
    <row r="7" spans="1:30" x14ac:dyDescent="0.25">
      <c r="A7" s="97" t="s">
        <v>161</v>
      </c>
      <c r="E7" s="92">
        <v>-1</v>
      </c>
      <c r="L7" s="92">
        <v>1</v>
      </c>
      <c r="W7" s="96">
        <v>1</v>
      </c>
      <c r="X7" s="92">
        <f t="shared" si="0"/>
        <v>0</v>
      </c>
      <c r="Y7" s="92">
        <v>0</v>
      </c>
    </row>
    <row r="8" spans="1:30" x14ac:dyDescent="0.25">
      <c r="A8" s="97" t="s">
        <v>160</v>
      </c>
      <c r="E8" s="92">
        <v>1</v>
      </c>
      <c r="F8" s="92">
        <v>-1</v>
      </c>
      <c r="P8" s="92">
        <v>1</v>
      </c>
      <c r="W8" s="96"/>
      <c r="X8" s="92">
        <f t="shared" si="0"/>
        <v>0</v>
      </c>
      <c r="Y8" s="92">
        <v>0</v>
      </c>
    </row>
    <row r="9" spans="1:30" x14ac:dyDescent="0.25">
      <c r="A9" s="97"/>
      <c r="C9" s="92">
        <v>1</v>
      </c>
      <c r="F9" s="92">
        <v>-1</v>
      </c>
      <c r="N9" s="92">
        <v>1</v>
      </c>
      <c r="S9" s="92">
        <v>1</v>
      </c>
      <c r="W9" s="96"/>
      <c r="X9" s="92">
        <f t="shared" si="0"/>
        <v>22</v>
      </c>
      <c r="Y9" s="92">
        <v>0</v>
      </c>
    </row>
    <row r="10" spans="1:30" x14ac:dyDescent="0.25">
      <c r="A10" s="97" t="s">
        <v>159</v>
      </c>
      <c r="G10" s="92">
        <v>-1</v>
      </c>
      <c r="L10" s="92">
        <v>1</v>
      </c>
      <c r="W10" s="96">
        <v>1</v>
      </c>
      <c r="X10" s="92">
        <f t="shared" si="0"/>
        <v>0</v>
      </c>
      <c r="Y10" s="92">
        <v>0</v>
      </c>
      <c r="AB10" s="92">
        <v>219.99760000000001</v>
      </c>
      <c r="AD10" s="92">
        <v>212.43540000000002</v>
      </c>
    </row>
    <row r="11" spans="1:30" x14ac:dyDescent="0.25">
      <c r="A11" s="97" t="s">
        <v>158</v>
      </c>
      <c r="G11" s="92">
        <v>1</v>
      </c>
      <c r="H11" s="92">
        <v>-1</v>
      </c>
      <c r="R11" s="92">
        <v>1</v>
      </c>
      <c r="W11" s="96"/>
      <c r="X11" s="92">
        <f t="shared" si="0"/>
        <v>0</v>
      </c>
      <c r="Y11" s="92">
        <v>0</v>
      </c>
      <c r="AB11" s="92">
        <v>478.5</v>
      </c>
      <c r="AD11" s="92">
        <v>462</v>
      </c>
    </row>
    <row r="12" spans="1:30" x14ac:dyDescent="0.25">
      <c r="A12" s="97" t="s">
        <v>157</v>
      </c>
      <c r="B12" s="92">
        <v>1</v>
      </c>
      <c r="I12" s="92">
        <v>-1</v>
      </c>
      <c r="W12" s="96"/>
      <c r="X12" s="92">
        <f t="shared" si="0"/>
        <v>0</v>
      </c>
      <c r="Y12" s="92">
        <v>0</v>
      </c>
    </row>
    <row r="13" spans="1:30" x14ac:dyDescent="0.25">
      <c r="A13" s="97" t="s">
        <v>156</v>
      </c>
      <c r="I13" s="92">
        <v>1</v>
      </c>
      <c r="J13" s="92">
        <v>-1</v>
      </c>
      <c r="T13" s="92">
        <v>1</v>
      </c>
      <c r="W13" s="96"/>
      <c r="X13" s="92">
        <f t="shared" si="0"/>
        <v>-3</v>
      </c>
      <c r="Y13" s="92">
        <v>0</v>
      </c>
    </row>
    <row r="14" spans="1:30" x14ac:dyDescent="0.25">
      <c r="J14" s="92">
        <v>-1</v>
      </c>
      <c r="K14" s="92">
        <v>1</v>
      </c>
      <c r="V14" s="92">
        <v>1</v>
      </c>
      <c r="X14" s="92">
        <f t="shared" si="0"/>
        <v>0</v>
      </c>
      <c r="Y14" s="92">
        <v>0</v>
      </c>
    </row>
    <row r="15" spans="1:30" x14ac:dyDescent="0.25">
      <c r="A15" s="97" t="s">
        <v>155</v>
      </c>
      <c r="K15" s="92">
        <v>-1</v>
      </c>
      <c r="L15" s="92">
        <v>1</v>
      </c>
      <c r="W15" s="96">
        <v>1</v>
      </c>
      <c r="X15" s="92">
        <f t="shared" si="0"/>
        <v>0</v>
      </c>
      <c r="Y15" s="92">
        <v>0</v>
      </c>
      <c r="AD15" s="92">
        <f>-AD11</f>
        <v>-462</v>
      </c>
    </row>
    <row r="16" spans="1:30" x14ac:dyDescent="0.25">
      <c r="A16" s="97" t="s">
        <v>154</v>
      </c>
      <c r="B16" s="92">
        <v>1</v>
      </c>
      <c r="L16" s="92">
        <v>-1</v>
      </c>
      <c r="W16" s="96"/>
      <c r="X16" s="92">
        <f t="shared" si="0"/>
        <v>0</v>
      </c>
      <c r="Y16" s="92">
        <v>0</v>
      </c>
      <c r="AD16" s="92">
        <f>AD15+AB11</f>
        <v>16.5</v>
      </c>
    </row>
    <row r="17" spans="1:30" x14ac:dyDescent="0.25">
      <c r="A17" s="97" t="s">
        <v>153</v>
      </c>
      <c r="D17" s="92">
        <v>1</v>
      </c>
      <c r="M17" s="92">
        <v>-1</v>
      </c>
      <c r="O17" s="92">
        <v>1</v>
      </c>
      <c r="W17" s="96"/>
      <c r="X17" s="92">
        <f t="shared" si="0"/>
        <v>0</v>
      </c>
      <c r="Y17" s="92">
        <v>0</v>
      </c>
      <c r="AD17" s="92">
        <f>AD10+AD16</f>
        <v>228.93540000000002</v>
      </c>
    </row>
    <row r="18" spans="1:30" x14ac:dyDescent="0.25">
      <c r="A18" s="97"/>
      <c r="F18" s="92">
        <v>1</v>
      </c>
      <c r="M18" s="92">
        <v>-1</v>
      </c>
      <c r="Q18" s="92">
        <v>1</v>
      </c>
      <c r="W18" s="96"/>
      <c r="X18" s="92">
        <f t="shared" si="0"/>
        <v>-6</v>
      </c>
      <c r="Y18" s="92">
        <v>0</v>
      </c>
    </row>
    <row r="19" spans="1:30" x14ac:dyDescent="0.25">
      <c r="A19" s="97"/>
      <c r="H19" s="92">
        <v>1</v>
      </c>
      <c r="M19" s="137">
        <v>-1</v>
      </c>
      <c r="S19" s="92">
        <v>1</v>
      </c>
      <c r="W19" s="96"/>
      <c r="X19" s="92">
        <f t="shared" si="0"/>
        <v>-6</v>
      </c>
      <c r="Y19" s="92">
        <v>0</v>
      </c>
    </row>
    <row r="20" spans="1:30" x14ac:dyDescent="0.25">
      <c r="J20" s="92">
        <v>1</v>
      </c>
      <c r="M20" s="92">
        <v>-1</v>
      </c>
      <c r="U20" s="92">
        <v>1</v>
      </c>
      <c r="X20" s="92">
        <f t="shared" si="0"/>
        <v>0</v>
      </c>
      <c r="Y20" s="92">
        <v>0</v>
      </c>
    </row>
    <row r="21" spans="1:30" ht="15.75" thickBot="1" x14ac:dyDescent="0.3">
      <c r="A21" s="103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>
        <v>1</v>
      </c>
      <c r="N21" s="94"/>
      <c r="O21" s="94"/>
      <c r="P21" s="94"/>
      <c r="Q21" s="94"/>
      <c r="R21" s="94"/>
      <c r="S21" s="94"/>
      <c r="T21" s="94"/>
      <c r="U21" s="94"/>
      <c r="V21" s="94"/>
      <c r="W21" s="93"/>
      <c r="X21" s="135">
        <f t="shared" si="0"/>
        <v>61</v>
      </c>
      <c r="Y21" s="92">
        <v>100</v>
      </c>
    </row>
    <row r="23" spans="1:30" x14ac:dyDescent="0.25">
      <c r="A23" s="92" t="s">
        <v>79</v>
      </c>
      <c r="B23" s="136">
        <v>0</v>
      </c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>
        <v>-1E-4</v>
      </c>
      <c r="N23" s="136">
        <f>K26/I26</f>
        <v>4.5454545454545459</v>
      </c>
      <c r="O23" s="136">
        <f>K27/I27</f>
        <v>4.5454545454545459</v>
      </c>
      <c r="P23" s="136">
        <f>K28/I28</f>
        <v>4.5454545454545459</v>
      </c>
      <c r="Q23" s="136">
        <f>K29/I29</f>
        <v>4.5454545454545459</v>
      </c>
      <c r="R23" s="136">
        <f>K30/I30</f>
        <v>4.5454545454545459</v>
      </c>
      <c r="S23" s="136">
        <f>K31/I31</f>
        <v>4.5454545454545459</v>
      </c>
      <c r="T23" s="136">
        <f>K32/I32</f>
        <v>4</v>
      </c>
      <c r="U23" s="136">
        <f>K33/I33</f>
        <v>4.5454545454545459</v>
      </c>
      <c r="V23" s="136">
        <f>K34/I34</f>
        <v>2.9411764705882355</v>
      </c>
      <c r="W23" s="136">
        <f>K35/I35</f>
        <v>4.5454545454545459</v>
      </c>
      <c r="X23" s="92">
        <f>SUMPRODUCT(B$3:W$3,B23:W23)</f>
        <v>949.99390000000005</v>
      </c>
      <c r="Z23" s="92">
        <v>76</v>
      </c>
      <c r="AA23" s="92" t="s">
        <v>143</v>
      </c>
    </row>
    <row r="24" spans="1:30" x14ac:dyDescent="0.25">
      <c r="A24" s="92" t="s">
        <v>132</v>
      </c>
      <c r="N24" s="92" cm="1">
        <f t="array" ref="N24:W24">TRANSPOSE(M26:M35)</f>
        <v>5</v>
      </c>
      <c r="O24" s="92">
        <v>5</v>
      </c>
      <c r="P24" s="92">
        <v>5</v>
      </c>
      <c r="Q24" s="92">
        <v>5</v>
      </c>
      <c r="R24" s="92">
        <v>5</v>
      </c>
      <c r="S24" s="92">
        <v>5</v>
      </c>
      <c r="T24" s="92">
        <v>5</v>
      </c>
      <c r="U24" s="92">
        <v>5</v>
      </c>
      <c r="V24" s="92">
        <v>5</v>
      </c>
      <c r="W24" s="92">
        <v>5</v>
      </c>
      <c r="X24" s="135">
        <f>SUMPRODUCT(B$3:W$3,B24:W24)</f>
        <v>1090</v>
      </c>
      <c r="Z24" s="92">
        <v>125.3</v>
      </c>
    </row>
    <row r="25" spans="1:30" x14ac:dyDescent="0.25">
      <c r="G25" s="134" t="s">
        <v>152</v>
      </c>
      <c r="H25" s="133" t="s">
        <v>151</v>
      </c>
      <c r="I25" s="132" t="s">
        <v>150</v>
      </c>
      <c r="J25" s="132" t="s">
        <v>149</v>
      </c>
      <c r="K25" s="132" t="s">
        <v>148</v>
      </c>
      <c r="L25" s="132" t="s">
        <v>147</v>
      </c>
      <c r="M25" s="130" t="s">
        <v>146</v>
      </c>
      <c r="Z25" s="92">
        <f>-X24</f>
        <v>-1090</v>
      </c>
    </row>
    <row r="26" spans="1:30" x14ac:dyDescent="0.25">
      <c r="A26" s="131" t="s">
        <v>145</v>
      </c>
      <c r="B26" s="130" t="s">
        <v>133</v>
      </c>
      <c r="C26" s="129" t="s">
        <v>132</v>
      </c>
      <c r="F26" s="92">
        <v>1</v>
      </c>
      <c r="G26" s="125" t="s">
        <v>107</v>
      </c>
      <c r="H26" s="118" t="s">
        <v>139</v>
      </c>
      <c r="I26" s="128">
        <v>11</v>
      </c>
      <c r="J26" s="119">
        <v>10</v>
      </c>
      <c r="K26" s="118">
        <v>50</v>
      </c>
      <c r="L26" s="118">
        <v>55</v>
      </c>
      <c r="M26" s="127">
        <f t="shared" ref="M26:M35" si="1">(L26-K26)/(I26-J26)</f>
        <v>5</v>
      </c>
      <c r="N26" s="92" cm="1">
        <f t="array" ref="N26:W26">TRANSPOSE(J26:J35)</f>
        <v>10</v>
      </c>
      <c r="O26" s="92">
        <v>30</v>
      </c>
      <c r="P26" s="92">
        <v>30</v>
      </c>
      <c r="Q26" s="92">
        <v>10</v>
      </c>
      <c r="R26" s="92">
        <v>20</v>
      </c>
      <c r="S26" s="92">
        <v>20</v>
      </c>
      <c r="T26" s="92">
        <v>20</v>
      </c>
      <c r="U26" s="92">
        <v>30</v>
      </c>
      <c r="V26" s="92">
        <v>10</v>
      </c>
      <c r="W26" s="92">
        <v>10</v>
      </c>
      <c r="Z26" s="92">
        <f>Z24+Z25</f>
        <v>-964.7</v>
      </c>
      <c r="AA26" s="92" t="s">
        <v>144</v>
      </c>
    </row>
    <row r="27" spans="1:30" x14ac:dyDescent="0.25">
      <c r="A27" s="92">
        <v>38</v>
      </c>
      <c r="B27" s="92">
        <v>0</v>
      </c>
      <c r="C27" s="92">
        <v>125.3</v>
      </c>
      <c r="F27" s="92">
        <v>2</v>
      </c>
      <c r="G27" s="125" t="s">
        <v>105</v>
      </c>
      <c r="H27" s="118" t="s">
        <v>136</v>
      </c>
      <c r="I27" s="124">
        <v>33</v>
      </c>
      <c r="J27" s="119">
        <v>30</v>
      </c>
      <c r="K27" s="118">
        <v>150</v>
      </c>
      <c r="L27" s="118">
        <v>165</v>
      </c>
      <c r="M27" s="123">
        <f t="shared" si="1"/>
        <v>5</v>
      </c>
      <c r="N27" s="92" cm="1">
        <f t="array" ref="N27:W27">TRANSPOSE(I26:I35)</f>
        <v>11</v>
      </c>
      <c r="O27" s="92">
        <v>33</v>
      </c>
      <c r="P27" s="92">
        <v>33</v>
      </c>
      <c r="Q27" s="92">
        <v>11</v>
      </c>
      <c r="R27" s="92">
        <v>22</v>
      </c>
      <c r="S27" s="92">
        <v>22</v>
      </c>
      <c r="T27" s="92">
        <v>25</v>
      </c>
      <c r="U27" s="92">
        <v>33</v>
      </c>
      <c r="V27" s="92">
        <v>17</v>
      </c>
      <c r="W27" s="92">
        <v>11</v>
      </c>
      <c r="Z27" s="126">
        <f>Z26+Z23</f>
        <v>-888.7</v>
      </c>
      <c r="AA27" s="92" t="s">
        <v>143</v>
      </c>
    </row>
    <row r="28" spans="1:30" x14ac:dyDescent="0.25">
      <c r="A28" s="92">
        <v>37</v>
      </c>
      <c r="B28" s="92">
        <f t="shared" ref="B28:B43" si="2">A27-A28</f>
        <v>1</v>
      </c>
      <c r="C28" s="92">
        <v>124.3</v>
      </c>
      <c r="F28" s="92">
        <v>3</v>
      </c>
      <c r="G28" s="125" t="s">
        <v>102</v>
      </c>
      <c r="H28" s="118" t="s">
        <v>71</v>
      </c>
      <c r="I28" s="124">
        <v>33</v>
      </c>
      <c r="J28" s="119">
        <v>30</v>
      </c>
      <c r="K28" s="118">
        <v>150</v>
      </c>
      <c r="L28" s="118">
        <v>165</v>
      </c>
      <c r="M28" s="123">
        <f t="shared" si="1"/>
        <v>5</v>
      </c>
    </row>
    <row r="29" spans="1:30" x14ac:dyDescent="0.25">
      <c r="A29" s="92">
        <v>36</v>
      </c>
      <c r="B29" s="92">
        <f t="shared" si="2"/>
        <v>1</v>
      </c>
      <c r="C29" s="92">
        <v>122.7</v>
      </c>
      <c r="F29" s="92">
        <f t="shared" ref="F29:F35" si="3">F28+1</f>
        <v>4</v>
      </c>
      <c r="G29" s="125" t="s">
        <v>142</v>
      </c>
      <c r="H29" s="118" t="s">
        <v>141</v>
      </c>
      <c r="I29" s="124">
        <v>11</v>
      </c>
      <c r="J29" s="119">
        <v>10</v>
      </c>
      <c r="K29" s="118">
        <v>50</v>
      </c>
      <c r="L29" s="118">
        <v>55</v>
      </c>
      <c r="M29" s="123">
        <f t="shared" si="1"/>
        <v>5</v>
      </c>
    </row>
    <row r="30" spans="1:30" x14ac:dyDescent="0.25">
      <c r="A30" s="92">
        <v>35</v>
      </c>
      <c r="B30" s="92">
        <f t="shared" si="2"/>
        <v>1</v>
      </c>
      <c r="C30" s="92">
        <v>120.8</v>
      </c>
      <c r="F30" s="92">
        <f t="shared" si="3"/>
        <v>5</v>
      </c>
      <c r="G30" s="125" t="s">
        <v>139</v>
      </c>
      <c r="H30" s="118" t="s">
        <v>71</v>
      </c>
      <c r="I30" s="124">
        <v>22</v>
      </c>
      <c r="J30" s="119">
        <v>20</v>
      </c>
      <c r="K30" s="118">
        <v>100</v>
      </c>
      <c r="L30" s="118">
        <v>110</v>
      </c>
      <c r="M30" s="123">
        <f t="shared" si="1"/>
        <v>5</v>
      </c>
    </row>
    <row r="31" spans="1:30" x14ac:dyDescent="0.25">
      <c r="A31" s="92">
        <v>34</v>
      </c>
      <c r="B31" s="92">
        <f t="shared" si="2"/>
        <v>1</v>
      </c>
      <c r="F31" s="92">
        <f t="shared" si="3"/>
        <v>6</v>
      </c>
      <c r="G31" s="125" t="s">
        <v>140</v>
      </c>
      <c r="H31" s="118" t="s">
        <v>139</v>
      </c>
      <c r="I31" s="124">
        <v>22</v>
      </c>
      <c r="J31" s="119">
        <v>20</v>
      </c>
      <c r="K31" s="118">
        <v>100</v>
      </c>
      <c r="L31" s="118">
        <v>110</v>
      </c>
      <c r="M31" s="123">
        <f t="shared" si="1"/>
        <v>5</v>
      </c>
      <c r="U31" s="92">
        <v>50</v>
      </c>
    </row>
    <row r="32" spans="1:30" x14ac:dyDescent="0.25">
      <c r="A32" s="92">
        <v>33</v>
      </c>
      <c r="B32" s="92">
        <f t="shared" si="2"/>
        <v>1</v>
      </c>
      <c r="F32" s="92">
        <f t="shared" si="3"/>
        <v>7</v>
      </c>
      <c r="G32" s="125" t="s">
        <v>138</v>
      </c>
      <c r="H32" s="121"/>
      <c r="I32" s="124">
        <v>25</v>
      </c>
      <c r="J32" s="119">
        <v>20</v>
      </c>
      <c r="K32" s="118">
        <v>100</v>
      </c>
      <c r="L32" s="118">
        <v>125</v>
      </c>
      <c r="M32" s="123">
        <f t="shared" si="1"/>
        <v>5</v>
      </c>
      <c r="P32" s="92">
        <f>N23*N27</f>
        <v>50.000000000000007</v>
      </c>
      <c r="R32" s="92">
        <f>SUM(K26:K35)</f>
        <v>950</v>
      </c>
      <c r="U32" s="92">
        <f>1000</f>
        <v>1000</v>
      </c>
    </row>
    <row r="33" spans="1:27" x14ac:dyDescent="0.25">
      <c r="A33" s="92">
        <v>32</v>
      </c>
      <c r="B33" s="92">
        <f t="shared" si="2"/>
        <v>1</v>
      </c>
      <c r="F33" s="92">
        <f t="shared" si="3"/>
        <v>8</v>
      </c>
      <c r="G33" s="125" t="s">
        <v>137</v>
      </c>
      <c r="H33" s="118" t="s">
        <v>136</v>
      </c>
      <c r="I33" s="124">
        <v>33</v>
      </c>
      <c r="J33" s="119">
        <v>30</v>
      </c>
      <c r="K33" s="118">
        <v>150</v>
      </c>
      <c r="L33" s="118">
        <v>165</v>
      </c>
      <c r="M33" s="123">
        <f t="shared" si="1"/>
        <v>5</v>
      </c>
    </row>
    <row r="34" spans="1:27" x14ac:dyDescent="0.25">
      <c r="B34" s="92">
        <f t="shared" si="2"/>
        <v>32</v>
      </c>
      <c r="F34" s="92">
        <f t="shared" si="3"/>
        <v>9</v>
      </c>
      <c r="G34" s="125" t="s">
        <v>135</v>
      </c>
      <c r="H34" s="118" t="s">
        <v>71</v>
      </c>
      <c r="I34" s="124">
        <v>17</v>
      </c>
      <c r="J34" s="119">
        <v>10</v>
      </c>
      <c r="K34" s="118">
        <v>50</v>
      </c>
      <c r="L34" s="118">
        <v>85</v>
      </c>
      <c r="M34" s="123">
        <f t="shared" si="1"/>
        <v>5</v>
      </c>
    </row>
    <row r="35" spans="1:27" x14ac:dyDescent="0.25">
      <c r="B35" s="92">
        <f t="shared" si="2"/>
        <v>0</v>
      </c>
      <c r="F35" s="92">
        <f t="shared" si="3"/>
        <v>10</v>
      </c>
      <c r="G35" s="122" t="s">
        <v>71</v>
      </c>
      <c r="H35" s="121"/>
      <c r="I35" s="120">
        <v>11</v>
      </c>
      <c r="J35" s="119">
        <v>10</v>
      </c>
      <c r="K35" s="118">
        <v>50</v>
      </c>
      <c r="L35" s="118">
        <v>55</v>
      </c>
      <c r="M35" s="117">
        <f t="shared" si="1"/>
        <v>5</v>
      </c>
    </row>
    <row r="36" spans="1:27" x14ac:dyDescent="0.25">
      <c r="B36" s="92">
        <f t="shared" si="2"/>
        <v>0</v>
      </c>
    </row>
    <row r="37" spans="1:27" x14ac:dyDescent="0.25">
      <c r="B37" s="92">
        <f t="shared" si="2"/>
        <v>0</v>
      </c>
    </row>
    <row r="38" spans="1:27" ht="15.75" thickBot="1" x14ac:dyDescent="0.3">
      <c r="B38" s="92">
        <f t="shared" si="2"/>
        <v>0</v>
      </c>
    </row>
    <row r="39" spans="1:27" ht="15.75" thickBot="1" x14ac:dyDescent="0.3">
      <c r="B39" s="92">
        <f t="shared" si="2"/>
        <v>0</v>
      </c>
      <c r="D39" s="112"/>
      <c r="E39" s="116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5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3"/>
    </row>
    <row r="40" spans="1:27" x14ac:dyDescent="0.25">
      <c r="B40" s="92">
        <f t="shared" si="2"/>
        <v>0</v>
      </c>
      <c r="D40" s="111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09"/>
      <c r="AA40" s="112"/>
    </row>
    <row r="41" spans="1:27" x14ac:dyDescent="0.25">
      <c r="B41" s="92">
        <f t="shared" si="2"/>
        <v>0</v>
      </c>
      <c r="D41" s="111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09"/>
      <c r="AA41" s="108"/>
    </row>
    <row r="42" spans="1:27" x14ac:dyDescent="0.25">
      <c r="B42" s="92">
        <f t="shared" si="2"/>
        <v>0</v>
      </c>
      <c r="D42" s="111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09"/>
      <c r="AA42" s="112"/>
    </row>
    <row r="43" spans="1:27" x14ac:dyDescent="0.25">
      <c r="B43" s="92">
        <f t="shared" si="2"/>
        <v>0</v>
      </c>
      <c r="D43" s="111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09"/>
      <c r="AA43" s="108"/>
    </row>
    <row r="44" spans="1:27" x14ac:dyDescent="0.25">
      <c r="D44" s="111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09"/>
      <c r="AA44" s="108"/>
    </row>
    <row r="45" spans="1:27" x14ac:dyDescent="0.25">
      <c r="D45" s="111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09"/>
      <c r="AA45" s="108"/>
    </row>
    <row r="46" spans="1:27" x14ac:dyDescent="0.25">
      <c r="D46" s="111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09"/>
      <c r="AA46" s="108"/>
    </row>
    <row r="47" spans="1:27" x14ac:dyDescent="0.25">
      <c r="D47" s="111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09"/>
      <c r="AA47" s="108"/>
    </row>
    <row r="48" spans="1:27" x14ac:dyDescent="0.25">
      <c r="D48" s="111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09"/>
      <c r="AA48" s="108"/>
    </row>
    <row r="49" spans="1:27" x14ac:dyDescent="0.25">
      <c r="D49" s="111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09"/>
      <c r="AA49" s="108"/>
    </row>
    <row r="50" spans="1:27" x14ac:dyDescent="0.25">
      <c r="D50" s="111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09"/>
      <c r="AA50" s="108"/>
    </row>
    <row r="51" spans="1:27" x14ac:dyDescent="0.25">
      <c r="D51" s="111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09"/>
      <c r="AA51" s="108"/>
    </row>
    <row r="52" spans="1:27" x14ac:dyDescent="0.25">
      <c r="D52" s="111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09"/>
      <c r="AA52" s="108"/>
    </row>
    <row r="53" spans="1:27" x14ac:dyDescent="0.25">
      <c r="D53" s="111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09"/>
      <c r="AA53" s="108"/>
    </row>
    <row r="54" spans="1:27" x14ac:dyDescent="0.25">
      <c r="D54" s="111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09"/>
      <c r="AA54" s="108"/>
    </row>
    <row r="56" spans="1:27" x14ac:dyDescent="0.25">
      <c r="D56" s="111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09"/>
      <c r="AA56" s="108"/>
    </row>
    <row r="59" spans="1:27" ht="15.75" thickBot="1" x14ac:dyDescent="0.3"/>
    <row r="60" spans="1:27" x14ac:dyDescent="0.25">
      <c r="A60" s="101" t="s">
        <v>131</v>
      </c>
      <c r="B60" s="100">
        <f>F40</f>
        <v>0</v>
      </c>
      <c r="C60" s="99">
        <f>F40+Q40</f>
        <v>0</v>
      </c>
    </row>
    <row r="61" spans="1:27" ht="15.75" thickBot="1" x14ac:dyDescent="0.3">
      <c r="A61" s="98" t="s">
        <v>130</v>
      </c>
      <c r="B61" s="92">
        <v>1</v>
      </c>
      <c r="C61" s="96">
        <v>1</v>
      </c>
    </row>
    <row r="62" spans="1:27" ht="15.75" thickBot="1" x14ac:dyDescent="0.3">
      <c r="A62" s="97" t="s">
        <v>129</v>
      </c>
      <c r="B62" s="92">
        <f>G40</f>
        <v>0</v>
      </c>
      <c r="C62" s="96">
        <f>G40+R40</f>
        <v>0</v>
      </c>
      <c r="S62" s="107" t="s">
        <v>134</v>
      </c>
      <c r="T62" s="106" t="s">
        <v>133</v>
      </c>
      <c r="U62" s="105" t="s">
        <v>132</v>
      </c>
    </row>
    <row r="63" spans="1:27" x14ac:dyDescent="0.25">
      <c r="A63" s="98" t="s">
        <v>128</v>
      </c>
      <c r="B63" s="92">
        <v>2</v>
      </c>
      <c r="C63" s="96">
        <v>2</v>
      </c>
      <c r="S63" s="97">
        <v>38</v>
      </c>
      <c r="T63" s="92">
        <v>0</v>
      </c>
      <c r="U63" s="104">
        <f t="shared" ref="U63:U77" si="4">AA40</f>
        <v>0</v>
      </c>
    </row>
    <row r="64" spans="1:27" x14ac:dyDescent="0.25">
      <c r="A64" s="97" t="s">
        <v>127</v>
      </c>
      <c r="B64" s="92">
        <f>H40</f>
        <v>0</v>
      </c>
      <c r="C64" s="96">
        <f>H40+S40</f>
        <v>0</v>
      </c>
      <c r="S64" s="97">
        <v>37</v>
      </c>
      <c r="T64" s="92">
        <f t="shared" ref="T64:T77" si="5">S$63-S64</f>
        <v>1</v>
      </c>
      <c r="U64" s="104">
        <f t="shared" si="4"/>
        <v>0</v>
      </c>
    </row>
    <row r="65" spans="1:21" x14ac:dyDescent="0.25">
      <c r="A65" s="98" t="s">
        <v>126</v>
      </c>
      <c r="B65" s="92">
        <v>3</v>
      </c>
      <c r="C65" s="96">
        <v>3</v>
      </c>
      <c r="S65" s="97">
        <v>36</v>
      </c>
      <c r="T65" s="92">
        <f t="shared" si="5"/>
        <v>2</v>
      </c>
      <c r="U65" s="104">
        <f t="shared" si="4"/>
        <v>0</v>
      </c>
    </row>
    <row r="66" spans="1:21" x14ac:dyDescent="0.25">
      <c r="A66" s="97" t="s">
        <v>125</v>
      </c>
      <c r="B66" s="92">
        <f>I40</f>
        <v>0</v>
      </c>
      <c r="C66" s="96">
        <f>I40+T40</f>
        <v>0</v>
      </c>
      <c r="S66" s="97">
        <v>35</v>
      </c>
      <c r="T66" s="92">
        <f t="shared" si="5"/>
        <v>3</v>
      </c>
      <c r="U66" s="104">
        <f t="shared" si="4"/>
        <v>0</v>
      </c>
    </row>
    <row r="67" spans="1:21" x14ac:dyDescent="0.25">
      <c r="A67" s="98" t="s">
        <v>124</v>
      </c>
      <c r="B67" s="92">
        <v>4</v>
      </c>
      <c r="C67" s="96">
        <v>4</v>
      </c>
      <c r="S67" s="97">
        <v>34</v>
      </c>
      <c r="T67" s="92">
        <f t="shared" si="5"/>
        <v>4</v>
      </c>
      <c r="U67" s="104">
        <f t="shared" si="4"/>
        <v>0</v>
      </c>
    </row>
    <row r="68" spans="1:21" x14ac:dyDescent="0.25">
      <c r="A68" s="97" t="s">
        <v>123</v>
      </c>
      <c r="B68" s="92">
        <f>J40</f>
        <v>0</v>
      </c>
      <c r="C68" s="96">
        <f>J40+U40</f>
        <v>0</v>
      </c>
      <c r="S68" s="97">
        <v>33</v>
      </c>
      <c r="T68" s="92">
        <f t="shared" si="5"/>
        <v>5</v>
      </c>
      <c r="U68" s="104">
        <f t="shared" si="4"/>
        <v>0</v>
      </c>
    </row>
    <row r="69" spans="1:21" x14ac:dyDescent="0.25">
      <c r="A69" s="98" t="s">
        <v>122</v>
      </c>
      <c r="B69" s="92">
        <v>5</v>
      </c>
      <c r="C69" s="96">
        <v>5</v>
      </c>
      <c r="S69" s="97">
        <v>32</v>
      </c>
      <c r="T69" s="92">
        <f t="shared" si="5"/>
        <v>6</v>
      </c>
      <c r="U69" s="104">
        <f t="shared" si="4"/>
        <v>0</v>
      </c>
    </row>
    <row r="70" spans="1:21" x14ac:dyDescent="0.25">
      <c r="A70" s="97" t="s">
        <v>121</v>
      </c>
      <c r="B70" s="92">
        <f>K40</f>
        <v>0</v>
      </c>
      <c r="C70" s="96">
        <f>K40+V40</f>
        <v>0</v>
      </c>
      <c r="S70" s="97">
        <v>31</v>
      </c>
      <c r="T70" s="92">
        <f t="shared" si="5"/>
        <v>7</v>
      </c>
      <c r="U70" s="104">
        <f t="shared" si="4"/>
        <v>0</v>
      </c>
    </row>
    <row r="71" spans="1:21" x14ac:dyDescent="0.25">
      <c r="A71" s="98" t="s">
        <v>120</v>
      </c>
      <c r="B71" s="92">
        <v>6</v>
      </c>
      <c r="C71" s="96">
        <v>6</v>
      </c>
      <c r="S71" s="97">
        <v>30</v>
      </c>
      <c r="T71" s="92">
        <f t="shared" si="5"/>
        <v>8</v>
      </c>
      <c r="U71" s="104">
        <f t="shared" si="4"/>
        <v>0</v>
      </c>
    </row>
    <row r="72" spans="1:21" x14ac:dyDescent="0.25">
      <c r="A72" s="97" t="s">
        <v>119</v>
      </c>
      <c r="B72" s="92">
        <f>L40</f>
        <v>0</v>
      </c>
      <c r="C72" s="96">
        <f>L40+W40</f>
        <v>0</v>
      </c>
      <c r="S72" s="97">
        <v>29</v>
      </c>
      <c r="T72" s="92">
        <f t="shared" si="5"/>
        <v>9</v>
      </c>
      <c r="U72" s="104">
        <f t="shared" si="4"/>
        <v>0</v>
      </c>
    </row>
    <row r="73" spans="1:21" x14ac:dyDescent="0.25">
      <c r="A73" s="98" t="s">
        <v>118</v>
      </c>
      <c r="B73" s="92">
        <v>7</v>
      </c>
      <c r="C73" s="96">
        <v>7</v>
      </c>
      <c r="S73" s="97">
        <v>28</v>
      </c>
      <c r="T73" s="92">
        <f t="shared" si="5"/>
        <v>10</v>
      </c>
      <c r="U73" s="104">
        <f t="shared" si="4"/>
        <v>0</v>
      </c>
    </row>
    <row r="74" spans="1:21" x14ac:dyDescent="0.25">
      <c r="A74" s="97" t="s">
        <v>117</v>
      </c>
      <c r="B74" s="92">
        <f>M40</f>
        <v>0</v>
      </c>
      <c r="C74" s="96">
        <f>M40+X40</f>
        <v>0</v>
      </c>
      <c r="S74" s="97">
        <v>27</v>
      </c>
      <c r="T74" s="92">
        <f t="shared" si="5"/>
        <v>11</v>
      </c>
      <c r="U74" s="104">
        <f t="shared" si="4"/>
        <v>0</v>
      </c>
    </row>
    <row r="75" spans="1:21" x14ac:dyDescent="0.25">
      <c r="A75" s="98" t="s">
        <v>116</v>
      </c>
      <c r="B75" s="92">
        <v>8</v>
      </c>
      <c r="C75" s="96">
        <v>8</v>
      </c>
      <c r="S75" s="97">
        <v>26</v>
      </c>
      <c r="T75" s="92">
        <f t="shared" si="5"/>
        <v>12</v>
      </c>
      <c r="U75" s="104">
        <f t="shared" si="4"/>
        <v>0</v>
      </c>
    </row>
    <row r="76" spans="1:21" x14ac:dyDescent="0.25">
      <c r="A76" s="97" t="s">
        <v>115</v>
      </c>
      <c r="B76" s="92">
        <f>N40</f>
        <v>0</v>
      </c>
      <c r="C76" s="96">
        <f>N40+Y40</f>
        <v>0</v>
      </c>
      <c r="S76" s="97">
        <v>25</v>
      </c>
      <c r="T76" s="92">
        <f t="shared" si="5"/>
        <v>13</v>
      </c>
      <c r="U76" s="104">
        <f t="shared" si="4"/>
        <v>0</v>
      </c>
    </row>
    <row r="77" spans="1:21" ht="15.75" thickBot="1" x14ac:dyDescent="0.3">
      <c r="A77" s="98" t="s">
        <v>114</v>
      </c>
      <c r="B77" s="92">
        <v>9</v>
      </c>
      <c r="C77" s="96">
        <v>9</v>
      </c>
      <c r="S77" s="103">
        <v>24</v>
      </c>
      <c r="T77" s="94">
        <f t="shared" si="5"/>
        <v>14</v>
      </c>
      <c r="U77" s="102">
        <f t="shared" si="4"/>
        <v>0</v>
      </c>
    </row>
    <row r="78" spans="1:21" x14ac:dyDescent="0.25">
      <c r="A78" s="97" t="s">
        <v>113</v>
      </c>
      <c r="B78" s="92">
        <f>O40</f>
        <v>0</v>
      </c>
      <c r="C78" s="96">
        <f>O40+Z40</f>
        <v>0</v>
      </c>
    </row>
    <row r="79" spans="1:21" ht="15.75" thickBot="1" x14ac:dyDescent="0.3">
      <c r="A79" s="95" t="s">
        <v>112</v>
      </c>
      <c r="B79" s="94">
        <v>10</v>
      </c>
      <c r="C79" s="93">
        <v>10</v>
      </c>
    </row>
    <row r="82" spans="1:3" ht="15.75" thickBot="1" x14ac:dyDescent="0.3"/>
    <row r="83" spans="1:3" x14ac:dyDescent="0.25">
      <c r="A83" s="101" t="s">
        <v>131</v>
      </c>
      <c r="B83" s="100">
        <f>F56</f>
        <v>0</v>
      </c>
      <c r="C83" s="99">
        <f>F56+Q56</f>
        <v>0</v>
      </c>
    </row>
    <row r="84" spans="1:3" x14ac:dyDescent="0.25">
      <c r="A84" s="98" t="s">
        <v>130</v>
      </c>
      <c r="B84" s="92">
        <v>1</v>
      </c>
      <c r="C84" s="96">
        <v>1</v>
      </c>
    </row>
    <row r="85" spans="1:3" x14ac:dyDescent="0.25">
      <c r="A85" s="97" t="s">
        <v>129</v>
      </c>
      <c r="B85" s="92">
        <f>G56</f>
        <v>0</v>
      </c>
      <c r="C85" s="96">
        <f>G56+R56</f>
        <v>0</v>
      </c>
    </row>
    <row r="86" spans="1:3" x14ac:dyDescent="0.25">
      <c r="A86" s="98" t="s">
        <v>128</v>
      </c>
      <c r="B86" s="92">
        <v>2</v>
      </c>
      <c r="C86" s="96">
        <v>2</v>
      </c>
    </row>
    <row r="87" spans="1:3" x14ac:dyDescent="0.25">
      <c r="A87" s="97" t="s">
        <v>127</v>
      </c>
      <c r="B87" s="92">
        <f>H56</f>
        <v>0</v>
      </c>
      <c r="C87" s="96">
        <f>H56+S56</f>
        <v>0</v>
      </c>
    </row>
    <row r="88" spans="1:3" x14ac:dyDescent="0.25">
      <c r="A88" s="98" t="s">
        <v>126</v>
      </c>
      <c r="B88" s="92">
        <v>3</v>
      </c>
      <c r="C88" s="96">
        <v>3</v>
      </c>
    </row>
    <row r="89" spans="1:3" x14ac:dyDescent="0.25">
      <c r="A89" s="97" t="s">
        <v>125</v>
      </c>
      <c r="B89" s="92">
        <f>I56</f>
        <v>0</v>
      </c>
      <c r="C89" s="96">
        <f>I56+T56</f>
        <v>0</v>
      </c>
    </row>
    <row r="90" spans="1:3" x14ac:dyDescent="0.25">
      <c r="A90" s="98" t="s">
        <v>124</v>
      </c>
      <c r="B90" s="92">
        <v>4</v>
      </c>
      <c r="C90" s="96">
        <v>4</v>
      </c>
    </row>
    <row r="91" spans="1:3" x14ac:dyDescent="0.25">
      <c r="A91" s="97" t="s">
        <v>123</v>
      </c>
      <c r="B91" s="92">
        <f>J56</f>
        <v>0</v>
      </c>
      <c r="C91" s="96">
        <f>J56+U56</f>
        <v>0</v>
      </c>
    </row>
    <row r="92" spans="1:3" x14ac:dyDescent="0.25">
      <c r="A92" s="98" t="s">
        <v>122</v>
      </c>
      <c r="B92" s="92">
        <v>5</v>
      </c>
      <c r="C92" s="96">
        <v>5</v>
      </c>
    </row>
    <row r="93" spans="1:3" x14ac:dyDescent="0.25">
      <c r="A93" s="97" t="s">
        <v>121</v>
      </c>
      <c r="B93" s="92">
        <f>K56</f>
        <v>0</v>
      </c>
      <c r="C93" s="96">
        <f>K56+V56</f>
        <v>0</v>
      </c>
    </row>
    <row r="94" spans="1:3" x14ac:dyDescent="0.25">
      <c r="A94" s="98" t="s">
        <v>120</v>
      </c>
      <c r="B94" s="92">
        <v>6</v>
      </c>
      <c r="C94" s="96">
        <v>6</v>
      </c>
    </row>
    <row r="95" spans="1:3" x14ac:dyDescent="0.25">
      <c r="A95" s="97" t="s">
        <v>119</v>
      </c>
      <c r="B95" s="92">
        <f>L56</f>
        <v>0</v>
      </c>
      <c r="C95" s="96">
        <f>L56+W56</f>
        <v>0</v>
      </c>
    </row>
    <row r="96" spans="1:3" x14ac:dyDescent="0.25">
      <c r="A96" s="98" t="s">
        <v>118</v>
      </c>
      <c r="B96" s="92">
        <v>7</v>
      </c>
      <c r="C96" s="96">
        <v>7</v>
      </c>
    </row>
    <row r="97" spans="1:3" x14ac:dyDescent="0.25">
      <c r="A97" s="97" t="s">
        <v>117</v>
      </c>
      <c r="B97" s="92">
        <f>M56</f>
        <v>0</v>
      </c>
      <c r="C97" s="96">
        <f>M56+X56</f>
        <v>0</v>
      </c>
    </row>
    <row r="98" spans="1:3" x14ac:dyDescent="0.25">
      <c r="A98" s="98" t="s">
        <v>116</v>
      </c>
      <c r="B98" s="92">
        <v>8</v>
      </c>
      <c r="C98" s="96">
        <v>8</v>
      </c>
    </row>
    <row r="99" spans="1:3" x14ac:dyDescent="0.25">
      <c r="A99" s="97" t="s">
        <v>115</v>
      </c>
      <c r="B99" s="92">
        <f>N56</f>
        <v>0</v>
      </c>
      <c r="C99" s="96">
        <f>N56+Y56</f>
        <v>0</v>
      </c>
    </row>
    <row r="100" spans="1:3" x14ac:dyDescent="0.25">
      <c r="A100" s="98" t="s">
        <v>114</v>
      </c>
      <c r="B100" s="92">
        <v>9</v>
      </c>
      <c r="C100" s="96">
        <v>9</v>
      </c>
    </row>
    <row r="101" spans="1:3" x14ac:dyDescent="0.25">
      <c r="A101" s="97" t="s">
        <v>113</v>
      </c>
      <c r="B101" s="92">
        <f>O56</f>
        <v>0</v>
      </c>
      <c r="C101" s="96">
        <f>O56+Z56</f>
        <v>0</v>
      </c>
    </row>
    <row r="102" spans="1:3" ht="15.75" thickBot="1" x14ac:dyDescent="0.3">
      <c r="A102" s="95" t="s">
        <v>112</v>
      </c>
      <c r="B102" s="94">
        <v>10</v>
      </c>
      <c r="C102" s="93">
        <v>10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workbookViewId="0">
      <selection activeCell="H43" sqref="H43"/>
    </sheetView>
  </sheetViews>
  <sheetFormatPr defaultRowHeight="15" x14ac:dyDescent="0.25"/>
  <cols>
    <col min="7" max="7" width="10.28515625" customWidth="1"/>
  </cols>
  <sheetData>
    <row r="1" spans="1:11" x14ac:dyDescent="0.25">
      <c r="B1" t="s">
        <v>210</v>
      </c>
    </row>
    <row r="2" spans="1:11" x14ac:dyDescent="0.25">
      <c r="B2" t="s">
        <v>57</v>
      </c>
      <c r="C2" t="s">
        <v>43</v>
      </c>
      <c r="D2" t="s">
        <v>50</v>
      </c>
      <c r="E2" t="s">
        <v>42</v>
      </c>
      <c r="F2" t="s">
        <v>92</v>
      </c>
      <c r="G2" t="s">
        <v>41</v>
      </c>
      <c r="H2" t="s">
        <v>186</v>
      </c>
    </row>
    <row r="3" spans="1:11" x14ac:dyDescent="0.25">
      <c r="A3" t="s">
        <v>209</v>
      </c>
      <c r="B3">
        <f>I13</f>
        <v>9</v>
      </c>
      <c r="C3">
        <f>J13</f>
        <v>0</v>
      </c>
      <c r="D3">
        <f>I14</f>
        <v>3</v>
      </c>
      <c r="E3">
        <f>J14</f>
        <v>1</v>
      </c>
      <c r="F3">
        <f>I15</f>
        <v>6</v>
      </c>
      <c r="G3">
        <f>J15</f>
        <v>0</v>
      </c>
      <c r="H3">
        <f>I16</f>
        <v>2</v>
      </c>
    </row>
    <row r="4" spans="1:11" x14ac:dyDescent="0.25">
      <c r="A4">
        <v>1</v>
      </c>
      <c r="B4">
        <v>1</v>
      </c>
      <c r="C4">
        <v>-1</v>
      </c>
      <c r="I4">
        <f>SUMPRODUCT(B$3:H$3,B4:H4)</f>
        <v>9</v>
      </c>
      <c r="J4">
        <v>6</v>
      </c>
    </row>
    <row r="5" spans="1:11" x14ac:dyDescent="0.25">
      <c r="A5">
        <v>2</v>
      </c>
      <c r="C5">
        <v>1</v>
      </c>
      <c r="D5">
        <v>1</v>
      </c>
      <c r="E5">
        <v>-1</v>
      </c>
      <c r="I5">
        <f>SUMPRODUCT(B$3:H$3,B5:H5)</f>
        <v>2</v>
      </c>
      <c r="J5">
        <v>5</v>
      </c>
    </row>
    <row r="6" spans="1:11" x14ac:dyDescent="0.25">
      <c r="A6">
        <v>3</v>
      </c>
      <c r="E6">
        <v>1</v>
      </c>
      <c r="F6">
        <v>1</v>
      </c>
      <c r="G6">
        <v>-1</v>
      </c>
      <c r="I6">
        <f>SUMPRODUCT(B$3:H$3,B6:H6)</f>
        <v>7</v>
      </c>
      <c r="J6">
        <v>7</v>
      </c>
    </row>
    <row r="7" spans="1:11" x14ac:dyDescent="0.25">
      <c r="A7">
        <v>4</v>
      </c>
      <c r="G7">
        <v>1</v>
      </c>
      <c r="H7">
        <v>-1</v>
      </c>
      <c r="I7">
        <f>SUMPRODUCT(B$3:H$3,B7:H7)</f>
        <v>-2</v>
      </c>
      <c r="J7">
        <v>3</v>
      </c>
    </row>
    <row r="8" spans="1:11" x14ac:dyDescent="0.25">
      <c r="A8" t="s">
        <v>208</v>
      </c>
      <c r="B8">
        <v>20.2</v>
      </c>
      <c r="C8">
        <v>0.9</v>
      </c>
      <c r="D8">
        <v>21</v>
      </c>
      <c r="E8">
        <v>0.2</v>
      </c>
      <c r="F8">
        <v>21.5</v>
      </c>
      <c r="G8">
        <v>1</v>
      </c>
      <c r="H8">
        <v>22.4</v>
      </c>
      <c r="I8">
        <f>SUMPRODUCT(B$3:H$3,B8:H8)</f>
        <v>418.8</v>
      </c>
      <c r="J8">
        <v>40</v>
      </c>
    </row>
    <row r="10" spans="1:11" x14ac:dyDescent="0.25">
      <c r="A10" t="s">
        <v>207</v>
      </c>
      <c r="B10">
        <v>10</v>
      </c>
      <c r="C10">
        <v>1</v>
      </c>
      <c r="D10">
        <v>4</v>
      </c>
      <c r="E10">
        <v>1</v>
      </c>
      <c r="F10">
        <v>7</v>
      </c>
      <c r="G10">
        <v>1</v>
      </c>
      <c r="H10">
        <v>5</v>
      </c>
    </row>
    <row r="12" spans="1:11" x14ac:dyDescent="0.25">
      <c r="A12" t="s">
        <v>153</v>
      </c>
      <c r="B12" t="s">
        <v>206</v>
      </c>
      <c r="C12" t="s">
        <v>95</v>
      </c>
      <c r="D12" t="s">
        <v>205</v>
      </c>
      <c r="E12" t="s">
        <v>204</v>
      </c>
      <c r="F12" t="s">
        <v>161</v>
      </c>
      <c r="G12" t="s">
        <v>156</v>
      </c>
    </row>
    <row r="13" spans="1:11" x14ac:dyDescent="0.25">
      <c r="A13">
        <v>1</v>
      </c>
      <c r="B13">
        <v>9</v>
      </c>
      <c r="C13">
        <v>10</v>
      </c>
      <c r="D13">
        <v>1</v>
      </c>
      <c r="E13" s="74">
        <v>5.2</v>
      </c>
      <c r="F13" s="74">
        <v>20.2</v>
      </c>
      <c r="G13" s="74">
        <v>0.9</v>
      </c>
      <c r="H13" t="s">
        <v>57</v>
      </c>
      <c r="I13" s="27">
        <v>9</v>
      </c>
      <c r="J13" s="27">
        <v>0</v>
      </c>
      <c r="K13" t="s">
        <v>43</v>
      </c>
    </row>
    <row r="14" spans="1:11" x14ac:dyDescent="0.25">
      <c r="A14">
        <v>2</v>
      </c>
      <c r="B14">
        <v>2</v>
      </c>
      <c r="C14">
        <v>4</v>
      </c>
      <c r="D14">
        <v>1</v>
      </c>
      <c r="E14" s="74">
        <v>14.8</v>
      </c>
      <c r="F14" s="74">
        <v>21</v>
      </c>
      <c r="G14" s="74">
        <v>0.2</v>
      </c>
      <c r="H14" t="s">
        <v>50</v>
      </c>
      <c r="I14" s="27">
        <v>3</v>
      </c>
      <c r="J14" s="27">
        <v>1</v>
      </c>
      <c r="K14" t="s">
        <v>42</v>
      </c>
    </row>
    <row r="15" spans="1:11" x14ac:dyDescent="0.25">
      <c r="A15">
        <v>3</v>
      </c>
      <c r="B15">
        <v>7</v>
      </c>
      <c r="C15">
        <v>7</v>
      </c>
      <c r="D15">
        <v>1</v>
      </c>
      <c r="E15" s="74">
        <v>5</v>
      </c>
      <c r="F15" s="74">
        <v>21.5</v>
      </c>
      <c r="G15" s="74">
        <v>1</v>
      </c>
      <c r="H15" t="s">
        <v>92</v>
      </c>
      <c r="I15" s="27">
        <v>6</v>
      </c>
      <c r="J15" s="27">
        <v>0</v>
      </c>
      <c r="K15" t="s">
        <v>41</v>
      </c>
    </row>
    <row r="16" spans="1:11" x14ac:dyDescent="0.25">
      <c r="A16">
        <v>4</v>
      </c>
      <c r="B16">
        <v>2</v>
      </c>
      <c r="C16">
        <v>5</v>
      </c>
      <c r="D16">
        <v>4</v>
      </c>
      <c r="E16" s="74">
        <v>15.2</v>
      </c>
      <c r="F16" s="74">
        <v>22.4</v>
      </c>
      <c r="G16" s="74">
        <v>0.1</v>
      </c>
      <c r="H16" t="s">
        <v>186</v>
      </c>
      <c r="I16" s="27">
        <v>2</v>
      </c>
      <c r="J16" s="75">
        <v>0</v>
      </c>
      <c r="K16" t="s">
        <v>40</v>
      </c>
    </row>
    <row r="17" spans="2:16" x14ac:dyDescent="0.25">
      <c r="E17" s="74">
        <v>40</v>
      </c>
    </row>
    <row r="18" spans="2:16" ht="15.75" thickBot="1" x14ac:dyDescent="0.3"/>
    <row r="19" spans="2:16" ht="15.75" thickBot="1" x14ac:dyDescent="0.3">
      <c r="B19" s="11"/>
      <c r="C19" s="10"/>
      <c r="D19" s="11" t="s">
        <v>203</v>
      </c>
      <c r="E19" s="9"/>
      <c r="F19" s="10" t="s">
        <v>202</v>
      </c>
      <c r="G19" s="9"/>
    </row>
    <row r="20" spans="2:16" ht="15.75" thickBot="1" x14ac:dyDescent="0.3">
      <c r="B20" s="56" t="s">
        <v>201</v>
      </c>
      <c r="C20" s="55"/>
      <c r="D20" s="56" t="s">
        <v>57</v>
      </c>
      <c r="E20" s="54" t="s">
        <v>197</v>
      </c>
      <c r="F20" s="55" t="s">
        <v>200</v>
      </c>
      <c r="G20" s="54"/>
    </row>
    <row r="21" spans="2:16" x14ac:dyDescent="0.25">
      <c r="B21" s="8">
        <v>9</v>
      </c>
      <c r="D21" s="8">
        <v>10</v>
      </c>
      <c r="E21" s="7">
        <v>1</v>
      </c>
      <c r="F21">
        <f>5.2+20.2*D21+0.9*E21</f>
        <v>208.1</v>
      </c>
      <c r="G21" s="7"/>
    </row>
    <row r="22" spans="2:16" ht="15.75" thickBot="1" x14ac:dyDescent="0.3">
      <c r="B22" s="8"/>
      <c r="D22" s="8">
        <v>9</v>
      </c>
      <c r="E22" s="7">
        <v>0</v>
      </c>
      <c r="F22">
        <f>5.2+20.2*D22+0.9*E22</f>
        <v>186.99999999999997</v>
      </c>
      <c r="G22" s="7"/>
    </row>
    <row r="23" spans="2:16" ht="15.75" thickBot="1" x14ac:dyDescent="0.3">
      <c r="B23" s="11"/>
      <c r="C23" s="10"/>
      <c r="D23" s="11" t="s">
        <v>199</v>
      </c>
      <c r="E23" s="10"/>
      <c r="F23" s="9"/>
      <c r="G23" s="10"/>
      <c r="H23" s="10"/>
      <c r="I23" s="150"/>
    </row>
    <row r="24" spans="2:16" ht="15.75" thickBot="1" x14ac:dyDescent="0.3">
      <c r="B24" s="56" t="s">
        <v>198</v>
      </c>
      <c r="C24" s="55"/>
      <c r="D24" s="56" t="s">
        <v>197</v>
      </c>
      <c r="E24" s="55" t="s">
        <v>50</v>
      </c>
      <c r="F24" s="54" t="s">
        <v>192</v>
      </c>
      <c r="G24" s="55" t="s">
        <v>196</v>
      </c>
      <c r="H24" s="55"/>
      <c r="I24" s="149" t="s">
        <v>195</v>
      </c>
    </row>
    <row r="25" spans="2:16" x14ac:dyDescent="0.25">
      <c r="B25" s="8">
        <v>2</v>
      </c>
      <c r="D25" s="8">
        <v>1</v>
      </c>
      <c r="E25">
        <v>2</v>
      </c>
      <c r="F25" s="7">
        <v>1</v>
      </c>
      <c r="G25">
        <f>14.8+21*E25+0.2*F25</f>
        <v>57</v>
      </c>
      <c r="H25">
        <f>F21</f>
        <v>208.1</v>
      </c>
      <c r="I25" s="148">
        <f>SUM(G25:H25)</f>
        <v>265.10000000000002</v>
      </c>
    </row>
    <row r="26" spans="2:16" x14ac:dyDescent="0.25">
      <c r="B26" s="8"/>
      <c r="D26" s="8">
        <v>1</v>
      </c>
      <c r="E26">
        <v>1</v>
      </c>
      <c r="F26" s="7">
        <v>0</v>
      </c>
      <c r="G26">
        <f>14.8+21*E26+0.2*F26</f>
        <v>35.799999999999997</v>
      </c>
      <c r="H26">
        <f>F21</f>
        <v>208.1</v>
      </c>
      <c r="I26" s="148">
        <f>SUM(G26:H26)</f>
        <v>243.89999999999998</v>
      </c>
    </row>
    <row r="27" spans="2:16" x14ac:dyDescent="0.25">
      <c r="B27" s="8"/>
      <c r="D27" s="158">
        <v>0</v>
      </c>
      <c r="E27" s="156">
        <v>3</v>
      </c>
      <c r="F27" s="157">
        <v>1</v>
      </c>
      <c r="G27" s="156">
        <f>14.8+21*E27+0.2*F27</f>
        <v>78</v>
      </c>
      <c r="H27" s="156">
        <f>F22</f>
        <v>186.99999999999997</v>
      </c>
      <c r="I27" s="155">
        <f>SUM(G27:H27)</f>
        <v>265</v>
      </c>
    </row>
    <row r="28" spans="2:16" ht="15.75" thickBot="1" x14ac:dyDescent="0.3">
      <c r="B28" s="13"/>
      <c r="C28" s="12"/>
      <c r="D28" s="154">
        <v>0</v>
      </c>
      <c r="E28" s="152">
        <v>2</v>
      </c>
      <c r="F28" s="153">
        <v>0</v>
      </c>
      <c r="G28" s="152">
        <f>14.8+21*E28+0.2*F28</f>
        <v>56.8</v>
      </c>
      <c r="H28" s="152">
        <f>F22</f>
        <v>186.99999999999997</v>
      </c>
      <c r="I28" s="151">
        <f>SUM(G28:H28)</f>
        <v>243.79999999999995</v>
      </c>
    </row>
    <row r="29" spans="2:16" ht="15.75" thickBot="1" x14ac:dyDescent="0.3">
      <c r="B29" s="11"/>
      <c r="C29" s="10"/>
      <c r="D29" s="11" t="s">
        <v>194</v>
      </c>
      <c r="E29" s="10"/>
      <c r="F29" s="9"/>
      <c r="G29" s="10"/>
      <c r="H29" s="10"/>
      <c r="I29" s="150"/>
    </row>
    <row r="30" spans="2:16" ht="15.75" thickBot="1" x14ac:dyDescent="0.3">
      <c r="B30" s="56" t="s">
        <v>193</v>
      </c>
      <c r="C30" s="55"/>
      <c r="D30" s="56" t="s">
        <v>192</v>
      </c>
      <c r="E30" s="55" t="s">
        <v>92</v>
      </c>
      <c r="F30" s="54" t="s">
        <v>185</v>
      </c>
      <c r="G30" s="55" t="s">
        <v>191</v>
      </c>
      <c r="H30" s="55"/>
      <c r="I30" s="149" t="s">
        <v>190</v>
      </c>
    </row>
    <row r="31" spans="2:16" x14ac:dyDescent="0.25">
      <c r="B31" s="8">
        <v>7</v>
      </c>
      <c r="D31" s="8">
        <v>0</v>
      </c>
      <c r="E31">
        <v>7</v>
      </c>
      <c r="F31" s="7">
        <v>0</v>
      </c>
      <c r="G31">
        <f>5+21.5*E31+F31</f>
        <v>155.5</v>
      </c>
      <c r="H31">
        <f>I28</f>
        <v>243.79999999999995</v>
      </c>
      <c r="I31" s="148">
        <f>SUM(G31:H31)</f>
        <v>399.29999999999995</v>
      </c>
    </row>
    <row r="32" spans="2:16" x14ac:dyDescent="0.25">
      <c r="B32" s="8"/>
      <c r="D32" s="147">
        <v>1</v>
      </c>
      <c r="E32" s="145">
        <v>6</v>
      </c>
      <c r="F32" s="146">
        <v>0</v>
      </c>
      <c r="G32" s="145">
        <f>5+21.5*E32+F32</f>
        <v>134</v>
      </c>
      <c r="H32" s="145">
        <v>265</v>
      </c>
      <c r="I32" s="144">
        <f>SUM(G32:H32)</f>
        <v>399</v>
      </c>
      <c r="P32">
        <f>K44</f>
        <v>0</v>
      </c>
    </row>
    <row r="33" spans="2:9" ht="15.75" thickBot="1" x14ac:dyDescent="0.3">
      <c r="B33" s="13"/>
      <c r="C33" s="12"/>
      <c r="D33" s="143">
        <v>1</v>
      </c>
      <c r="E33" s="141">
        <v>7</v>
      </c>
      <c r="F33" s="142">
        <v>1</v>
      </c>
      <c r="G33" s="141">
        <f>5+21.5*E33+F33</f>
        <v>156.5</v>
      </c>
      <c r="H33" s="141">
        <v>265</v>
      </c>
      <c r="I33" s="140">
        <f>SUM(G33:H33)</f>
        <v>421.5</v>
      </c>
    </row>
    <row r="34" spans="2:9" ht="15.75" thickBot="1" x14ac:dyDescent="0.3"/>
    <row r="35" spans="2:9" ht="15.75" thickBot="1" x14ac:dyDescent="0.3">
      <c r="B35" s="11"/>
      <c r="C35" s="10"/>
      <c r="D35" s="11" t="s">
        <v>189</v>
      </c>
      <c r="E35" s="9"/>
      <c r="F35" s="10"/>
      <c r="G35" s="9" t="s">
        <v>188</v>
      </c>
    </row>
    <row r="36" spans="2:9" ht="15.75" thickBot="1" x14ac:dyDescent="0.3">
      <c r="B36" s="56" t="s">
        <v>187</v>
      </c>
      <c r="C36" s="55"/>
      <c r="D36" s="56" t="s">
        <v>186</v>
      </c>
      <c r="E36" s="54" t="s">
        <v>185</v>
      </c>
      <c r="F36" s="55" t="s">
        <v>184</v>
      </c>
      <c r="G36" s="54"/>
    </row>
    <row r="37" spans="2:9" x14ac:dyDescent="0.25">
      <c r="B37" s="8">
        <v>2</v>
      </c>
      <c r="D37" s="8">
        <v>1</v>
      </c>
      <c r="E37" s="7">
        <v>1</v>
      </c>
      <c r="F37" s="11">
        <f>15.2+22.4*D37</f>
        <v>37.599999999999994</v>
      </c>
      <c r="G37" s="9">
        <f>I33+F37</f>
        <v>459.1</v>
      </c>
    </row>
    <row r="38" spans="2:9" ht="15.75" thickBot="1" x14ac:dyDescent="0.3">
      <c r="B38" s="13"/>
      <c r="C38" s="12"/>
      <c r="D38" s="13">
        <v>2</v>
      </c>
      <c r="E38" s="1">
        <v>0</v>
      </c>
      <c r="F38" s="13">
        <f>15.2+22.4*D38</f>
        <v>60</v>
      </c>
      <c r="G38" s="1">
        <f>I32+F38</f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SPU</vt:lpstr>
      <vt:lpstr>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dangel</dc:creator>
  <cp:lastModifiedBy>user</cp:lastModifiedBy>
  <dcterms:created xsi:type="dcterms:W3CDTF">2015-06-05T18:17:20Z</dcterms:created>
  <dcterms:modified xsi:type="dcterms:W3CDTF">2026-05-19T02:56:05Z</dcterms:modified>
</cp:coreProperties>
</file>